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host\Desktop\SMU-VIRT-DATA-PT-03-2022-U-LOL\01-Excel\Homework\Instructions\"/>
    </mc:Choice>
  </mc:AlternateContent>
  <xr:revisionPtr revIDLastSave="0" documentId="13_ncr:1_{7CC080B7-F6B6-4AA7-8D59-8E6A227D25B7}" xr6:coauthVersionLast="47" xr6:coauthVersionMax="47" xr10:uidLastSave="{00000000-0000-0000-0000-000000000000}"/>
  <bookViews>
    <workbookView xWindow="-15330" yWindow="-16320" windowWidth="29040" windowHeight="15720" tabRatio="635" activeTab="4" xr2:uid="{00000000-000D-0000-FFFF-FFFF00000000}"/>
  </bookViews>
  <sheets>
    <sheet name="Crowdfunding" sheetId="1" r:id="rId1"/>
    <sheet name="Outcome v SubCategory" sheetId="4" r:id="rId2"/>
    <sheet name="Outcome v Date" sheetId="5" r:id="rId3"/>
    <sheet name="Bonus1" sheetId="6" r:id="rId4"/>
    <sheet name="BONUS2" sheetId="7" r:id="rId5"/>
    <sheet name="Conclusion" sheetId="8" r:id="rId6"/>
  </sheets>
  <calcPr calcId="181029"/>
  <pivotCaches>
    <pivotCache cacheId="0" r:id="rId7"/>
    <pivotCache cacheId="1" r:id="rId8"/>
    <pivotCache cacheId="24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7" l="1"/>
  <c r="B6" i="7"/>
  <c r="C7" i="7"/>
  <c r="C5" i="7"/>
  <c r="C4" i="7"/>
  <c r="C3" i="7"/>
  <c r="B3" i="7"/>
  <c r="B4" i="7"/>
  <c r="B5" i="7"/>
  <c r="B7" i="7"/>
  <c r="C2" i="7"/>
  <c r="B2" i="7"/>
  <c r="B10" i="6"/>
  <c r="E10" i="6"/>
  <c r="H10" i="6" s="1"/>
  <c r="E11" i="6"/>
  <c r="H11" i="6" s="1"/>
  <c r="E12" i="6"/>
  <c r="F12" i="6" s="1"/>
  <c r="E13" i="6"/>
  <c r="H13" i="6" s="1"/>
  <c r="H3" i="6"/>
  <c r="H4" i="6"/>
  <c r="H5" i="6"/>
  <c r="H6" i="6"/>
  <c r="H7" i="6"/>
  <c r="H8" i="6"/>
  <c r="H9" i="6"/>
  <c r="H2" i="6"/>
  <c r="G3" i="6"/>
  <c r="G4" i="6"/>
  <c r="G5" i="6"/>
  <c r="G6" i="6"/>
  <c r="G7" i="6"/>
  <c r="G8" i="6"/>
  <c r="G9" i="6"/>
  <c r="G2" i="6"/>
  <c r="F2" i="6"/>
  <c r="F3" i="6"/>
  <c r="F4" i="6"/>
  <c r="F5" i="6"/>
  <c r="F6" i="6"/>
  <c r="F7" i="6"/>
  <c r="F8" i="6"/>
  <c r="F9" i="6"/>
  <c r="E9" i="6"/>
  <c r="E8" i="6"/>
  <c r="E7" i="6"/>
  <c r="E6" i="6"/>
  <c r="E5" i="6"/>
  <c r="E4" i="6"/>
  <c r="E3" i="6"/>
  <c r="E2" i="6"/>
  <c r="D2" i="6"/>
  <c r="C2" i="6"/>
  <c r="D13" i="6"/>
  <c r="D12" i="6"/>
  <c r="D11" i="6"/>
  <c r="D10" i="6"/>
  <c r="D9" i="6"/>
  <c r="D8" i="6"/>
  <c r="D7" i="6"/>
  <c r="D6" i="6"/>
  <c r="D5" i="6"/>
  <c r="D3" i="6"/>
  <c r="D4" i="6"/>
  <c r="C3" i="6"/>
  <c r="C4" i="6"/>
  <c r="C5" i="6"/>
  <c r="C6" i="6"/>
  <c r="C7" i="6"/>
  <c r="C8" i="6"/>
  <c r="C9" i="6"/>
  <c r="C10" i="6"/>
  <c r="C11" i="6"/>
  <c r="C12" i="6"/>
  <c r="C13" i="6"/>
  <c r="B13" i="6"/>
  <c r="B12" i="6"/>
  <c r="B11" i="6"/>
  <c r="B9" i="6"/>
  <c r="B8" i="6"/>
  <c r="B7" i="6"/>
  <c r="B6" i="6"/>
  <c r="B4" i="6"/>
  <c r="B5" i="6"/>
  <c r="B3" i="6"/>
  <c r="B2" i="6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S2" i="1"/>
  <c r="T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3" i="1"/>
  <c r="S4" i="1"/>
  <c r="S5" i="1"/>
  <c r="S6" i="1"/>
  <c r="S7" i="1"/>
  <c r="S8" i="1"/>
  <c r="S9" i="1"/>
  <c r="S10" i="1"/>
  <c r="S11" i="1"/>
  <c r="S12" i="1"/>
  <c r="P3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4" i="1"/>
  <c r="P5" i="1"/>
  <c r="P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6" i="1"/>
  <c r="O2" i="1"/>
  <c r="F10" i="6" l="1"/>
  <c r="G10" i="6"/>
  <c r="G11" i="6"/>
  <c r="F11" i="6"/>
  <c r="G12" i="6"/>
  <c r="H12" i="6"/>
  <c r="G13" i="6"/>
  <c r="F13" i="6"/>
</calcChain>
</file>

<file path=xl/sharedStrings.xml><?xml version="1.0" encoding="utf-8"?>
<sst xmlns="http://schemas.openxmlformats.org/spreadsheetml/2006/main" count="8127" uniqueCount="2117">
  <si>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</si>
  <si>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</si>
  <si>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</si>
  <si>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</si>
  <si>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</si>
  <si>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</si>
  <si>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</si>
  <si>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</si>
  <si>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</si>
  <si>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</si>
  <si>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</si>
  <si>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</si>
  <si>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</si>
  <si>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</si>
  <si>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</si>
  <si>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</si>
  <si>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</si>
  <si>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</si>
  <si>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</si>
  <si>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</si>
  <si>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</si>
  <si>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</si>
  <si>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</si>
  <si>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</si>
  <si>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</si>
  <si>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</si>
  <si>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</si>
  <si>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</si>
  <si>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</si>
  <si>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</si>
  <si>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</si>
  <si>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</si>
  <si>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</si>
  <si>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</si>
  <si>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</si>
  <si>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</si>
  <si>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</si>
  <si>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</si>
  <si>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</si>
  <si>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</si>
  <si>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</si>
  <si>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</si>
  <si>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</si>
  <si>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</si>
  <si>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</si>
  <si>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</si>
  <si>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</si>
  <si>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</si>
  <si>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</si>
  <si>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</si>
  <si>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</si>
  <si>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</si>
  <si>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</si>
  <si>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</si>
  <si>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</si>
  <si>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</si>
  <si>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</si>
  <si>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</si>
  <si>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</si>
  <si>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</si>
  <si>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</si>
  <si>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</si>
  <si>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</si>
  <si>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</si>
  <si>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</si>
  <si>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</si>
  <si>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</si>
  <si>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</si>
  <si>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</si>
  <si>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</si>
  <si>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</si>
  <si>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</si>
  <si>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</si>
  <si>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</si>
  <si>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</si>
  <si>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</si>
  <si>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</si>
  <si>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</si>
  <si>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</si>
  <si>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</si>
  <si>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</si>
  <si>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</si>
  <si>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</si>
  <si>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</si>
  <si>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</si>
  <si>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</si>
  <si>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</si>
  <si>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</si>
  <si>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</si>
  <si>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</si>
  <si>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</si>
  <si>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</si>
  <si>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</si>
  <si>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</si>
  <si>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</si>
  <si>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</si>
  <si>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</si>
  <si>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</si>
  <si>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</si>
  <si>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</si>
  <si>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</si>
  <si>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</si>
  <si>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</si>
  <si>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</si>
  <si>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</si>
  <si>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</si>
  <si>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</si>
  <si>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</si>
  <si>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</si>
  <si>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</si>
  <si>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</si>
  <si>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</si>
  <si>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</si>
  <si>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</si>
  <si>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</si>
  <si>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</si>
  <si>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</si>
  <si>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</si>
  <si>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</si>
  <si>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</si>
  <si>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</si>
  <si>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</si>
  <si>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</si>
  <si>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</si>
  <si>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</si>
  <si>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</si>
  <si>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</si>
  <si>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</si>
  <si>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</si>
  <si>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</si>
  <si>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</si>
  <si>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</si>
  <si>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</si>
  <si>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</si>
  <si>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</si>
  <si>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</si>
  <si>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</si>
  <si>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</si>
  <si>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</si>
  <si>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</si>
  <si>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</si>
  <si>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</si>
  <si>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</si>
  <si>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</si>
  <si>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</si>
  <si>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</si>
  <si>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</si>
  <si>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</si>
  <si>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</si>
  <si>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</si>
  <si>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</si>
  <si>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</si>
  <si>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</si>
  <si>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</si>
  <si>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</si>
  <si>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</si>
  <si>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</si>
  <si>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</si>
  <si>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</si>
  <si>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</si>
  <si>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</si>
  <si>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</si>
  <si>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</si>
  <si>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</si>
  <si>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</si>
  <si>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</si>
  <si>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</si>
  <si>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</si>
  <si>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</si>
  <si>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</si>
  <si>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</si>
  <si>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</si>
  <si>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</si>
  <si>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</si>
  <si>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</si>
  <si>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</si>
  <si>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</si>
  <si>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</si>
  <si>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</si>
  <si>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</si>
  <si>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</si>
  <si>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</si>
  <si>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</si>
  <si>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</si>
  <si>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</si>
  <si>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</si>
  <si>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</si>
  <si>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</si>
  <si>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</si>
  <si>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</si>
  <si>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</si>
  <si>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</si>
  <si>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</si>
  <si>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</si>
  <si>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</si>
  <si>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</si>
  <si>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</si>
  <si>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</si>
  <si>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</si>
  <si>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</si>
  <si>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</si>
  <si>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</si>
  <si>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</si>
  <si>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</si>
  <si>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</si>
  <si>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</si>
  <si>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</si>
  <si>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</si>
  <si>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</si>
  <si>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</si>
  <si>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</si>
  <si>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</si>
  <si>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</si>
  <si>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</si>
  <si>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</si>
  <si>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</si>
  <si>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</si>
  <si>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</si>
  <si>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</si>
  <si>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</si>
  <si>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</si>
  <si>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</si>
  <si>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</si>
  <si>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</si>
  <si>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</si>
  <si>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</si>
  <si>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</si>
  <si>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</si>
  <si>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</si>
  <si>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</si>
  <si>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</si>
  <si>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</si>
  <si>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</si>
  <si>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</si>
  <si>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</si>
  <si>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</si>
  <si>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</si>
  <si>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</si>
  <si>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</si>
  <si>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</si>
  <si>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</si>
  <si>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</si>
  <si>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</si>
  <si>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</si>
  <si>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</si>
  <si>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</si>
  <si>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</si>
  <si>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</si>
  <si>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</si>
  <si>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</si>
  <si>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</si>
  <si>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</si>
  <si>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</si>
  <si>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</si>
  <si>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</si>
  <si>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</si>
  <si>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</si>
  <si>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</si>
  <si>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</si>
  <si>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</si>
  <si>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</si>
  <si>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</si>
  <si>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</si>
  <si>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</si>
  <si>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</si>
  <si>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</si>
  <si>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</si>
  <si>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</si>
  <si>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</si>
  <si>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</si>
  <si>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</si>
  <si>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</si>
  <si>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</si>
  <si>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</si>
  <si>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</si>
  <si>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</si>
  <si>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</si>
  <si>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</si>
  <si>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</si>
  <si>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</si>
  <si>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</si>
  <si>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</si>
  <si>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</si>
  <si>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</si>
  <si>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</si>
  <si>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</si>
  <si>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</si>
  <si>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</si>
  <si>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</si>
  <si>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</si>
  <si>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</si>
  <si>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</si>
  <si>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</si>
  <si>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</si>
  <si>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</si>
  <si>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</si>
  <si>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</si>
  <si>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</si>
  <si>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</si>
  <si>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</si>
  <si>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</si>
  <si>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</si>
  <si>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</si>
  <si>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</si>
  <si>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</si>
  <si>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</si>
  <si>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</si>
  <si>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</si>
  <si>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</si>
  <si>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</si>
  <si>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</si>
  <si>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</si>
  <si>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</si>
  <si>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</si>
  <si>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</si>
  <si>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</si>
  <si>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</si>
  <si>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</si>
  <si>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</si>
  <si>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</si>
  <si>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</si>
  <si>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</si>
  <si>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</si>
  <si>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</si>
  <si>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</si>
  <si>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</si>
  <si>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</si>
  <si>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</si>
  <si>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</si>
  <si>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</si>
  <si>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</si>
  <si>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</si>
  <si>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</si>
  <si>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</si>
  <si>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</si>
  <si>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</si>
  <si>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</si>
  <si>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</si>
  <si>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</si>
  <si>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</si>
  <si>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</si>
  <si>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</si>
  <si>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</si>
  <si>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</si>
  <si>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</si>
  <si>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</si>
  <si>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</si>
  <si>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</si>
  <si>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</si>
  <si>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</si>
  <si>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</si>
  <si>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</si>
  <si>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</si>
  <si>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</si>
  <si>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</si>
  <si>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</si>
  <si>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</si>
  <si>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</si>
  <si>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</si>
  <si>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</si>
  <si>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</si>
  <si>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</si>
  <si>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</si>
  <si>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</si>
  <si>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</si>
  <si>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</si>
  <si>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</si>
  <si>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</si>
  <si>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</si>
  <si>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</si>
  <si>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</si>
  <si>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</si>
  <si>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</si>
  <si>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</si>
  <si>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</si>
  <si>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</si>
  <si>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</si>
  <si>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</si>
  <si>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</si>
  <si>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</si>
  <si>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</si>
  <si>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</si>
  <si>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</si>
  <si>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</si>
  <si>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</si>
  <si>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</si>
  <si>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</si>
  <si>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</si>
  <si>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</si>
  <si>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</si>
  <si>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</si>
  <si>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</si>
  <si>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</si>
  <si>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</si>
  <si>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</si>
  <si>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</si>
  <si>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</si>
  <si>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</si>
  <si>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</si>
  <si>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</si>
  <si>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</si>
  <si>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</si>
  <si>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</si>
  <si>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</si>
  <si>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</si>
  <si>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</si>
  <si>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</si>
  <si>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</si>
  <si>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</si>
  <si>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</si>
  <si>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</si>
  <si>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</si>
  <si>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</si>
  <si>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</si>
  <si>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</si>
  <si>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</si>
  <si>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</si>
  <si>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</si>
  <si>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</si>
  <si>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</si>
  <si>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</si>
  <si>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</si>
  <si>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</si>
  <si>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</si>
  <si>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</si>
  <si>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</si>
  <si>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</si>
  <si>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</si>
  <si>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</si>
  <si>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</si>
  <si>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</si>
  <si>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</si>
  <si>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</si>
  <si>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</si>
  <si>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</si>
  <si>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</si>
  <si>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</si>
  <si>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</si>
  <si>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</si>
  <si>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</si>
  <si>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</si>
  <si>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</si>
  <si>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</si>
  <si>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</si>
  <si>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</si>
  <si>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</si>
  <si>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</si>
  <si>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</si>
  <si>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</si>
  <si>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</si>
  <si>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</si>
  <si>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</si>
  <si>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</si>
  <si>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</si>
  <si>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</si>
  <si>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</si>
  <si>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</si>
  <si>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</si>
  <si>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</si>
  <si>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</si>
  <si>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</si>
  <si>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</si>
  <si>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</si>
  <si>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</si>
  <si>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</si>
  <si>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</si>
  <si>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</si>
  <si>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</si>
  <si>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</si>
  <si>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</si>
  <si>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</si>
  <si>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</si>
  <si>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</si>
  <si>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</si>
  <si>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</si>
  <si>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</si>
  <si>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</si>
  <si>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</si>
  <si>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</si>
  <si>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</si>
  <si>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</si>
  <si>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</si>
  <si>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</si>
  <si>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</si>
  <si>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</si>
  <si>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</si>
  <si>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</si>
  <si>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</si>
  <si>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</si>
  <si>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</si>
  <si>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</si>
  <si>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</si>
  <si>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</si>
  <si>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</si>
  <si>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</si>
  <si>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</si>
  <si>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</si>
  <si>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</si>
  <si>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</si>
  <si>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</si>
  <si>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</si>
  <si>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</si>
  <si>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</si>
  <si>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</si>
  <si>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</si>
  <si>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</si>
  <si>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</si>
  <si>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</si>
  <si>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</si>
  <si>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</si>
  <si>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</si>
  <si>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</si>
  <si>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</si>
  <si>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</si>
  <si>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</si>
  <si>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</si>
  <si>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</si>
  <si>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</si>
  <si>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</si>
  <si>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</si>
  <si>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</si>
  <si>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</si>
  <si>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</si>
  <si>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</si>
  <si>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</si>
  <si>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</si>
  <si>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</si>
  <si>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</si>
  <si>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</si>
  <si>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</si>
  <si>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</si>
  <si>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</si>
  <si>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</si>
  <si>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</si>
  <si>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</si>
  <si>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</si>
  <si>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</si>
  <si>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</si>
  <si>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</si>
  <si>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</si>
  <si>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</si>
  <si>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</si>
  <si>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</si>
  <si>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</si>
  <si>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</si>
  <si>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</si>
  <si>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</si>
  <si>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</si>
  <si>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</si>
  <si>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</si>
  <si>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</si>
  <si>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</si>
  <si>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</si>
  <si>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</si>
  <si>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</si>
  <si>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</si>
  <si>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</si>
  <si>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</si>
  <si>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</si>
  <si>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</si>
  <si>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</si>
  <si>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</si>
  <si>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</si>
  <si>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</si>
  <si>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</si>
  <si>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</si>
  <si>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</si>
  <si>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</si>
  <si>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</si>
  <si>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</si>
  <si>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</si>
  <si>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</si>
  <si>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</si>
  <si>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</si>
  <si>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</si>
  <si>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</si>
  <si>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</si>
  <si>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</si>
  <si>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</si>
  <si>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</si>
  <si>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</si>
  <si>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</si>
  <si>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</si>
  <si>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</si>
  <si>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</si>
  <si>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</si>
  <si>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</si>
  <si>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</si>
  <si>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</si>
  <si>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</si>
  <si>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</si>
  <si>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</si>
  <si>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</si>
  <si>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</si>
  <si>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</si>
  <si>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</si>
  <si>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</si>
  <si>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</si>
  <si>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</si>
  <si>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</si>
  <si>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</si>
  <si>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</si>
  <si>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</si>
  <si>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</si>
  <si>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</si>
  <si>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</si>
  <si>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</si>
  <si>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</si>
  <si>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</si>
  <si>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</si>
  <si>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</si>
  <si>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</si>
  <si>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</si>
  <si>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</si>
  <si>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</si>
  <si>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</si>
  <si>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</si>
  <si>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</si>
  <si>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</si>
  <si>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</si>
  <si>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</si>
  <si>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</si>
  <si>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</si>
  <si>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</si>
  <si>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</si>
  <si>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</si>
  <si>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</si>
  <si>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</si>
  <si>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</si>
  <si>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</si>
  <si>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</si>
  <si>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</si>
  <si>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</si>
  <si>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</si>
  <si>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</si>
  <si>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</si>
  <si>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</si>
  <si>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</si>
  <si>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</si>
  <si>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</si>
  <si>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</si>
  <si>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</si>
  <si>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</si>
  <si>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</si>
  <si>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</si>
  <si>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</si>
  <si>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</si>
  <si>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</si>
  <si>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</si>
  <si>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</si>
  <si>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</si>
  <si>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</si>
  <si>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</si>
  <si>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</si>
  <si>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</si>
  <si>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</si>
  <si>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</si>
  <si>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</si>
  <si>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</si>
  <si>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</si>
  <si>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</si>
  <si>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</si>
  <si>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</si>
  <si>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</si>
  <si>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</si>
  <si>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</si>
  <si>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</si>
  <si>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</si>
  <si>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</si>
  <si>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</si>
  <si>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</si>
  <si>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</si>
  <si>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</si>
  <si>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</si>
  <si>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</si>
  <si>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</si>
  <si>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</si>
  <si>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</si>
  <si>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</si>
  <si>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</si>
  <si>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</si>
  <si>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</si>
  <si>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</si>
  <si>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</si>
  <si>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</si>
  <si>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</si>
  <si>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</si>
  <si>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</si>
  <si>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</si>
  <si>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</si>
  <si>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</si>
  <si>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</si>
  <si>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</si>
  <si>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</si>
  <si>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</si>
  <si>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</si>
  <si>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</si>
  <si>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</si>
  <si>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</si>
  <si>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</si>
  <si>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</si>
  <si>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</si>
  <si>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</si>
  <si>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</si>
  <si>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</si>
  <si>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</si>
  <si>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</si>
  <si>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</si>
  <si>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</si>
  <si>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</si>
  <si>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</si>
  <si>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</si>
  <si>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</si>
  <si>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</si>
  <si>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</si>
  <si>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</si>
  <si>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</si>
  <si>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</si>
  <si>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</si>
  <si>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</si>
  <si>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</si>
  <si>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</si>
  <si>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</si>
  <si>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</si>
  <si>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</si>
  <si>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</si>
  <si>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</si>
  <si>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</si>
  <si>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</si>
  <si>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</si>
  <si>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</si>
  <si>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</si>
  <si>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</si>
  <si>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</si>
  <si>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</si>
  <si>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</si>
  <si>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</si>
  <si>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</si>
  <si>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</si>
  <si>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</si>
  <si>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</si>
  <si>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</si>
  <si>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</si>
  <si>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</si>
  <si>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</si>
  <si>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</si>
  <si>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</si>
  <si>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</si>
  <si>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</si>
  <si>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</si>
  <si>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</si>
  <si>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</si>
  <si>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</si>
  <si>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</si>
  <si>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</si>
  <si>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</si>
  <si>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</si>
  <si>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</si>
  <si>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</si>
  <si>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</si>
  <si>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</si>
  <si>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</si>
  <si>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</si>
  <si>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</si>
  <si>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</si>
  <si>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</si>
  <si>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</si>
  <si>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</si>
  <si>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</si>
  <si>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</si>
  <si>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</si>
  <si>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</si>
  <si>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</si>
  <si>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</si>
  <si>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</si>
  <si>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</si>
  <si>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</si>
  <si>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</si>
  <si>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</si>
  <si>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</si>
  <si>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</si>
  <si>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</si>
  <si>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</si>
  <si>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</si>
  <si>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</si>
  <si>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</si>
  <si>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</si>
  <si>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</si>
  <si>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</si>
  <si>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</si>
  <si>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</si>
  <si>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</si>
  <si>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</si>
  <si>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</si>
  <si>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</si>
  <si>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</si>
  <si>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</si>
  <si>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</si>
  <si>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</si>
  <si>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</si>
  <si>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</si>
  <si>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</si>
  <si>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</si>
  <si>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</si>
  <si>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</si>
  <si>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</si>
  <si>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</si>
  <si>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</si>
  <si>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</si>
  <si>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</si>
  <si>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</si>
  <si>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</si>
  <si>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</si>
  <si>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</si>
  <si>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</si>
  <si>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</si>
  <si>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</si>
  <si>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</si>
  <si>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</si>
  <si>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</si>
  <si>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</si>
  <si>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</si>
  <si>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</si>
  <si>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</si>
  <si>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</si>
  <si>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</si>
  <si>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</si>
  <si>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</si>
  <si>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</si>
  <si>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</si>
  <si>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</si>
  <si>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</si>
  <si>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</si>
  <si>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</si>
  <si>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</si>
  <si>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</si>
  <si>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</si>
  <si>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</si>
  <si>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</si>
  <si>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</si>
  <si>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</si>
  <si>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</si>
  <si>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</si>
  <si>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</si>
  <si>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</si>
  <si>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</si>
  <si>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</si>
  <si>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</si>
  <si>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</si>
  <si>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</si>
  <si>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</si>
  <si>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</si>
  <si>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</si>
  <si>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</si>
  <si>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</si>
  <si>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</si>
  <si>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</si>
  <si>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</si>
  <si>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</si>
  <si>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</si>
  <si>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</si>
  <si>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</si>
  <si>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</si>
  <si>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</si>
  <si>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</si>
  <si>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</si>
  <si>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</si>
  <si>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</si>
  <si>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</si>
  <si>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</si>
  <si>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</si>
  <si>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</si>
  <si>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</si>
  <si>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</si>
  <si>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</si>
  <si>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</si>
  <si>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</si>
  <si>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</si>
  <si>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</si>
  <si>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</si>
  <si>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</si>
  <si>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</si>
  <si>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</si>
  <si>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</si>
  <si>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</si>
  <si>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</si>
  <si>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</si>
  <si>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</si>
  <si>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</si>
  <si>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</si>
  <si>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</si>
  <si>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</si>
  <si>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</si>
  <si>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</si>
  <si>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</si>
  <si>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</si>
  <si>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</si>
  <si>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</si>
  <si>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</si>
  <si>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</si>
  <si>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</si>
  <si>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</si>
  <si>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</si>
  <si>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</si>
  <si>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</si>
  <si>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</si>
  <si>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</si>
  <si>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</si>
  <si>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</si>
  <si>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</si>
  <si>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</si>
  <si>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</si>
  <si>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</si>
  <si>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</si>
  <si>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</si>
  <si>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</si>
  <si>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</si>
  <si>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</si>
  <si>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</si>
  <si>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</si>
  <si>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</si>
  <si>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</si>
  <si>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</si>
  <si>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</si>
  <si>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</si>
  <si>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</si>
  <si>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</si>
  <si>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</si>
  <si>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</si>
  <si>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</si>
  <si>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</si>
  <si>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</si>
  <si>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</si>
  <si>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</si>
  <si>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</si>
  <si>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</si>
  <si>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</si>
  <si>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</si>
  <si>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</si>
  <si>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</si>
  <si>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</si>
  <si>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</si>
  <si>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</si>
  <si>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</si>
  <si>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</si>
  <si>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</si>
  <si>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</si>
  <si>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</si>
  <si>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</si>
  <si>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</si>
  <si>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</si>
  <si>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</si>
  <si>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</si>
  <si>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</si>
  <si>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</si>
  <si>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</si>
  <si>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</si>
  <si>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</si>
  <si>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</si>
  <si>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</si>
  <si>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</si>
  <si>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</si>
  <si>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</si>
  <si>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</si>
  <si>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</si>
  <si>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</si>
  <si>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</si>
  <si>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</si>
  <si>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</si>
  <si>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</si>
  <si>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</si>
  <si>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</si>
  <si>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</si>
  <si>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</si>
  <si>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</si>
  <si>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</si>
  <si>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</si>
  <si>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</si>
  <si>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</si>
  <si>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</si>
  <si>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</si>
  <si>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</si>
  <si>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</si>
  <si>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</si>
  <si>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</si>
  <si>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</si>
  <si>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</si>
  <si>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</si>
  <si>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</si>
  <si>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</si>
  <si>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</si>
  <si>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</si>
  <si>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</si>
  <si>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</si>
  <si>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</si>
  <si>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</si>
  <si>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</si>
  <si>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</si>
  <si>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</si>
  <si>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</si>
  <si>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</si>
  <si>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</si>
  <si>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</si>
  <si>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</si>
  <si>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</si>
  <si>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</si>
  <si>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</si>
  <si>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</si>
  <si>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</si>
  <si>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</si>
  <si>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</si>
  <si>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</si>
  <si>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</si>
  <si>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</si>
  <si>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</si>
  <si>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</si>
  <si>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</si>
  <si>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</si>
  <si>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</si>
  <si>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</si>
  <si>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</si>
  <si>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</si>
  <si>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</si>
  <si>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</si>
  <si>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</si>
  <si>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</si>
  <si>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</si>
  <si>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</si>
  <si>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</si>
  <si>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</si>
  <si>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</si>
  <si>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</si>
  <si>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</si>
  <si>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</si>
  <si>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</si>
  <si>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</si>
  <si>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</si>
  <si>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</si>
  <si>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</si>
  <si>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</si>
  <si>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</si>
  <si>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</si>
  <si>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</si>
  <si>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</si>
  <si>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</si>
  <si>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</si>
  <si>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</si>
  <si>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</si>
  <si>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</si>
  <si>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</si>
  <si>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</si>
  <si>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</si>
  <si>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</si>
  <si>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</si>
  <si>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</si>
  <si>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</si>
  <si>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</si>
  <si>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</si>
  <si>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</si>
  <si>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</si>
  <si>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</si>
  <si>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</si>
  <si>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</si>
  <si>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</si>
  <si>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</si>
  <si>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</si>
  <si>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</si>
  <si>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</si>
  <si>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</si>
  <si>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</si>
  <si>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</si>
  <si>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</si>
  <si>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</si>
  <si>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</si>
  <si>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</si>
  <si>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</si>
  <si>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</si>
  <si>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</si>
  <si>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</si>
  <si>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</si>
  <si>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</si>
  <si>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</si>
  <si>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</si>
  <si>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</si>
  <si>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</si>
  <si>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</si>
  <si>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</si>
  <si>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</si>
  <si>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</si>
  <si>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</si>
  <si>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</si>
  <si>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</si>
  <si>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</si>
  <si>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</si>
  <si>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</si>
  <si>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</si>
  <si>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</si>
  <si>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</si>
  <si>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</si>
  <si>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</si>
  <si>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</si>
  <si>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</si>
  <si>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</si>
  <si>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</si>
  <si>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</si>
  <si>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</si>
  <si>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</si>
  <si>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</si>
  <si>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</si>
  <si>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</si>
  <si>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</si>
  <si>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</si>
  <si>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</si>
  <si>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</si>
  <si>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</si>
  <si>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</si>
  <si>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</si>
  <si>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</si>
  <si>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</si>
  <si>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</si>
  <si>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</si>
  <si>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</si>
  <si>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</si>
  <si>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</si>
  <si>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</si>
  <si>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</si>
  <si>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</si>
  <si>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</si>
  <si>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</si>
  <si>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</si>
  <si>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</si>
  <si>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</si>
  <si>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</si>
  <si>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</si>
  <si>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</si>
  <si>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</si>
  <si>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</si>
  <si>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</si>
  <si>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</si>
  <si>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</si>
  <si>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</si>
  <si>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</si>
  <si>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</si>
  <si>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</si>
  <si>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</si>
  <si>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</si>
  <si>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</si>
  <si>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</si>
  <si>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</si>
  <si>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</si>
  <si>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</si>
  <si>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</si>
  <si>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</si>
  <si>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</si>
  <si>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</si>
  <si>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</si>
  <si>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</si>
  <si>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</si>
  <si>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</si>
  <si>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</si>
  <si>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</si>
  <si>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</si>
  <si>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</si>
  <si>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</si>
  <si>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</si>
  <si>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</si>
  <si>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</si>
  <si>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</si>
  <si>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</si>
  <si>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</si>
  <si>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</si>
  <si>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</si>
  <si>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</si>
  <si>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</si>
  <si>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</si>
  <si>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</si>
  <si>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</si>
  <si>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</si>
  <si>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</si>
  <si>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</si>
  <si>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</si>
  <si>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</si>
  <si>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</si>
  <si>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</si>
  <si>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</si>
  <si>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</si>
  <si>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</si>
  <si>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</si>
  <si>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</si>
  <si>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</si>
  <si>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</si>
  <si>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</si>
  <si>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</si>
  <si>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</si>
  <si>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</si>
  <si>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</si>
  <si>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</si>
  <si>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</si>
  <si>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</si>
  <si>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</si>
  <si>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</si>
  <si>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</si>
  <si>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</si>
  <si>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</si>
  <si>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</si>
  <si>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</si>
  <si>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</si>
  <si>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</si>
  <si>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</si>
  <si>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</si>
  <si>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</si>
  <si>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</si>
  <si>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</si>
  <si>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</si>
  <si>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</si>
  <si>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</si>
  <si>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</si>
  <si>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</si>
  <si>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</si>
  <si>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</si>
  <si>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</si>
  <si>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</si>
  <si>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</si>
  <si>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</si>
  <si>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</si>
  <si>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</si>
  <si>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</si>
  <si>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</si>
  <si>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</si>
  <si>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</si>
  <si>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</si>
  <si>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</si>
  <si>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</si>
  <si>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</si>
  <si>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</si>
  <si>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</si>
  <si>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</si>
  <si>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</si>
  <si>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</si>
  <si>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</si>
  <si>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</si>
  <si>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</si>
  <si>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</si>
  <si>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</si>
  <si>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</si>
  <si>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</si>
  <si>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</si>
  <si>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</si>
  <si>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</si>
  <si>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</si>
  <si>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</si>
  <si>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</si>
  <si>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</si>
  <si>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</si>
  <si>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</si>
  <si>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</si>
  <si>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</si>
  <si>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</si>
  <si>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</si>
  <si>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</si>
  <si>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</si>
  <si>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</si>
  <si>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</si>
  <si>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</si>
  <si>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</si>
  <si>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</si>
  <si>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</si>
  <si>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</si>
  <si>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</si>
  <si>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</si>
  <si>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</si>
  <si>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</si>
  <si>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</si>
  <si>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</si>
  <si>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</si>
  <si>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</si>
  <si>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</si>
  <si>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</si>
  <si>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</si>
  <si>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</si>
  <si>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</si>
  <si>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</si>
  <si>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</si>
  <si>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</si>
  <si>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</si>
  <si>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</si>
  <si>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</si>
  <si>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</si>
  <si>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</si>
  <si>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</si>
  <si>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</si>
  <si>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</si>
  <si>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</si>
  <si>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</si>
  <si>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</si>
  <si>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</si>
  <si>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</si>
  <si>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</si>
  <si>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</si>
  <si>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</si>
  <si>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</si>
  <si>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</si>
  <si>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</si>
  <si>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</si>
  <si>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</si>
  <si>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</si>
  <si>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</si>
  <si>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</si>
  <si>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</si>
  <si>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</si>
  <si>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</si>
  <si>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</si>
  <si>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</si>
  <si>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</si>
  <si>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</si>
  <si>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</si>
  <si>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</si>
  <si>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</si>
  <si>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</si>
  <si>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</si>
  <si>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</si>
  <si>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</si>
  <si>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</si>
  <si>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</si>
  <si>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</si>
  <si>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</si>
  <si>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</si>
  <si>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</si>
  <si>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</si>
  <si>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</si>
  <si>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</si>
  <si>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</si>
  <si>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</si>
  <si>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</si>
  <si>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</si>
  <si>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</si>
  <si>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</si>
  <si>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</si>
  <si>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</si>
  <si>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</si>
  <si>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</si>
  <si>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</si>
  <si>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</si>
  <si>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</si>
  <si>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</si>
  <si>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</si>
  <si>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</si>
  <si>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</si>
  <si>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</si>
  <si>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</si>
  <si>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</si>
  <si>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</si>
  <si>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</si>
  <si>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</si>
  <si>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</si>
  <si>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</si>
  <si>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</si>
  <si>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</si>
  <si>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</si>
  <si>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</si>
  <si>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</si>
  <si>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</si>
  <si>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</si>
  <si>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</si>
  <si>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</si>
  <si>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</si>
  <si>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</si>
  <si>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</si>
  <si>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</si>
  <si>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</si>
  <si>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</si>
  <si>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</si>
  <si>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</si>
  <si>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</si>
  <si>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</si>
  <si>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</si>
  <si>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</si>
  <si>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</si>
  <si>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</si>
  <si>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</si>
  <si>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</si>
  <si>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</si>
  <si>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</si>
  <si>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</si>
  <si>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</si>
  <si>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</si>
  <si>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</si>
  <si>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</si>
  <si>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</si>
  <si>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</si>
  <si>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</si>
  <si>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</si>
  <si>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</si>
  <si>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</si>
  <si>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</si>
  <si>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</si>
  <si>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</si>
  <si>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</si>
  <si>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</si>
  <si>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</si>
  <si>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</si>
  <si>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</si>
  <si>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</si>
  <si>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</si>
  <si>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</si>
  <si>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</si>
  <si>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</si>
  <si>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</si>
  <si>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</si>
  <si>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</si>
  <si>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</si>
  <si>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</si>
  <si>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</si>
  <si>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</si>
  <si>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</si>
  <si>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</si>
  <si>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</si>
  <si>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</si>
  <si>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</si>
  <si>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</si>
  <si>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</si>
  <si>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</si>
  <si>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</si>
  <si>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</si>
  <si>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</si>
  <si>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</si>
  <si>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</si>
  <si>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</si>
  <si>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</si>
  <si>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</si>
  <si>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</si>
  <si>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</si>
  <si>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</si>
  <si>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</si>
  <si>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</si>
  <si>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</si>
  <si>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</si>
  <si>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</si>
  <si>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</si>
  <si>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</si>
  <si>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</si>
  <si>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</si>
  <si>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</si>
  <si>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</si>
  <si>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</si>
  <si>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</si>
  <si>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</si>
  <si>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</si>
  <si>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</si>
  <si>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</si>
  <si>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</si>
  <si>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</si>
  <si>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</si>
  <si>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</si>
  <si>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</si>
  <si>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</si>
  <si>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</si>
  <si>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</si>
  <si>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</si>
  <si>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</si>
  <si>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</si>
  <si>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</si>
  <si>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</si>
  <si>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</si>
  <si>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</si>
  <si>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</si>
  <si>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</si>
  <si>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</si>
  <si>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</si>
  <si>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</si>
  <si>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</si>
  <si>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</si>
  <si>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</si>
  <si>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</si>
  <si>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</si>
  <si>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</si>
  <si>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</si>
  <si>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</si>
  <si>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</si>
  <si>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</si>
  <si>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</si>
  <si>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</si>
  <si>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</si>
  <si>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</si>
  <si>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</si>
  <si>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</si>
  <si>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</si>
  <si>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</si>
  <si>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</si>
  <si>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</si>
  <si>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</si>
  <si>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</si>
  <si>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</si>
  <si>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</si>
  <si>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</si>
  <si>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</si>
  <si>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</si>
  <si>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</si>
  <si>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</si>
  <si>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</si>
  <si>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</si>
  <si>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</si>
  <si>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</si>
  <si>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</si>
  <si>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</si>
  <si>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</si>
  <si>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</si>
  <si>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</si>
  <si>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</si>
  <si>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</si>
  <si>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</si>
  <si>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</si>
  <si>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</si>
  <si>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</si>
  <si>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</si>
  <si>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</si>
  <si>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</si>
  <si>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</si>
  <si>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</si>
  <si>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</si>
  <si>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</si>
  <si>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</si>
  <si>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</si>
  <si>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</si>
  <si>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</si>
  <si>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</si>
  <si>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</si>
  <si>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</si>
  <si>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</si>
  <si>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</si>
  <si>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</si>
  <si>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</si>
  <si>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</si>
  <si>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</si>
  <si>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</si>
  <si>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</si>
  <si>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</si>
  <si>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</si>
  <si>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</si>
  <si>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</si>
  <si>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</si>
  <si>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</si>
  <si>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</si>
  <si>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</si>
  <si>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</si>
  <si>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</si>
  <si>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</si>
  <si>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</si>
  <si>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</si>
  <si>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</si>
  <si>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</si>
  <si>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</si>
  <si>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</si>
  <si>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</si>
  <si>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</si>
  <si>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</si>
  <si>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</si>
  <si>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</si>
  <si>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</si>
  <si>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</si>
  <si>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</si>
  <si>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</si>
  <si>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</si>
  <si>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</si>
  <si>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</si>
  <si>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</si>
  <si>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</si>
  <si>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</si>
  <si>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</si>
  <si>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</si>
  <si>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</si>
  <si>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</si>
  <si>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</si>
  <si>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</si>
  <si>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</si>
  <si>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</si>
  <si>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</si>
  <si>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</si>
  <si>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</si>
  <si>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</si>
  <si>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</si>
  <si>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</si>
  <si>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</si>
  <si>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</si>
  <si>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</si>
  <si>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</si>
  <si>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</si>
  <si>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</si>
  <si>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</si>
  <si>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</si>
  <si>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</si>
  <si>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</si>
  <si>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</si>
  <si>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</si>
  <si>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</si>
  <si>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</si>
  <si>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</si>
  <si>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</si>
  <si>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</si>
  <si>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</si>
  <si>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</si>
  <si>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</si>
  <si>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</si>
  <si>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</si>
  <si>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</si>
  <si>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</si>
  <si>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</si>
  <si>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</si>
  <si>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</si>
  <si>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</si>
  <si>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</si>
  <si>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</si>
  <si>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</si>
  <si>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</si>
  <si>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</si>
  <si>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</si>
  <si>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</si>
  <si>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</si>
  <si>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</si>
  <si>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</si>
  <si>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</si>
  <si>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</si>
  <si>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</si>
  <si>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</si>
  <si>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</si>
  <si>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</si>
  <si>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</si>
  <si>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</si>
  <si>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</si>
  <si>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</si>
  <si>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</si>
  <si>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</si>
  <si>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</si>
  <si>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</si>
  <si>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</si>
  <si>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</si>
  <si>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</si>
  <si>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</si>
  <si>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</si>
  <si>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</si>
  <si>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</si>
  <si>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</si>
  <si>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</si>
  <si>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</si>
  <si>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</si>
  <si>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</si>
  <si>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</si>
  <si>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</si>
  <si>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</si>
  <si>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</si>
  <si>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</si>
  <si>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</si>
  <si>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</si>
  <si>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</si>
  <si>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</si>
  <si>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</si>
  <si>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</si>
  <si>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</si>
  <si>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</si>
  <si>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</si>
  <si>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</si>
  <si>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</si>
  <si>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</si>
  <si>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</si>
  <si>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</si>
  <si>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</si>
  <si>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</si>
  <si>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</si>
  <si>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</si>
  <si>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</si>
  <si>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</si>
  <si>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</si>
  <si>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</si>
  <si>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</si>
  <si>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</si>
  <si>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</si>
  <si>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</si>
  <si>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</si>
  <si>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</si>
  <si>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</si>
  <si>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</si>
  <si>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</si>
  <si>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</si>
  <si>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</si>
  <si>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</si>
  <si>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</si>
  <si>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</si>
  <si>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</si>
  <si>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</si>
  <si>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</si>
  <si>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</si>
  <si>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</si>
  <si>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</si>
  <si>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</si>
  <si>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</si>
  <si>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</si>
  <si>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</si>
  <si>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</si>
  <si>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</si>
  <si>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</si>
  <si>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</si>
  <si>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</si>
  <si>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</si>
  <si>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</si>
  <si>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</si>
  <si>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</si>
  <si>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</si>
  <si>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</si>
  <si>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</si>
  <si>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</si>
  <si>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</si>
  <si>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</si>
  <si>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</si>
  <si>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</si>
  <si>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</si>
  <si>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</si>
  <si>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</si>
  <si>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</si>
  <si>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</si>
  <si>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</si>
  <si>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</si>
  <si>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</si>
  <si>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</si>
  <si>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</si>
  <si>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</si>
  <si>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</si>
  <si>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</si>
  <si>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</si>
  <si>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</si>
  <si>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</si>
  <si>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</si>
  <si>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</si>
  <si>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</si>
  <si>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</si>
  <si>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</si>
  <si>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</si>
  <si>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</si>
  <si>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</si>
  <si>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</si>
  <si>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</si>
  <si>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</si>
  <si>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</si>
  <si>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</si>
  <si>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</si>
  <si>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</si>
  <si>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</si>
  <si>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</si>
  <si>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</si>
  <si>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</si>
  <si>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</si>
  <si>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</si>
  <si>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</si>
  <si>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</si>
  <si>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</si>
  <si>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</si>
  <si>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</si>
  <si>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</si>
  <si>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</si>
  <si>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</si>
  <si>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</si>
  <si>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</si>
  <si>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</si>
  <si>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</si>
  <si>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</si>
  <si>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</si>
  <si>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</si>
  <si>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</si>
  <si>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</si>
  <si>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</si>
  <si>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</si>
  <si>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</si>
  <si>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</si>
  <si>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</si>
  <si>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</si>
  <si>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</si>
  <si>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</si>
  <si>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</si>
  <si>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</si>
  <si>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</si>
  <si>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</si>
  <si>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</si>
  <si>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</si>
  <si>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</si>
  <si>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</si>
  <si>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</si>
  <si>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</si>
  <si>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</si>
  <si>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</si>
  <si>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</si>
  <si>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</si>
  <si>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</si>
  <si>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</si>
  <si>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</si>
  <si>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</si>
  <si>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</si>
  <si>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</si>
  <si>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</si>
  <si>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</si>
  <si>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</si>
  <si>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</si>
  <si>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</si>
  <si>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</si>
  <si>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</si>
  <si>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</si>
  <si>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</si>
  <si>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</si>
  <si>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</si>
  <si>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</si>
  <si>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</si>
  <si>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</si>
  <si>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</si>
  <si>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</si>
  <si>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</si>
  <si>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</si>
  <si>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</si>
  <si>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</si>
  <si>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</si>
  <si>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</si>
  <si>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</si>
  <si>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</si>
  <si>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</si>
  <si>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</si>
  <si>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</si>
  <si>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</si>
  <si>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</si>
  <si>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</si>
  <si>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</si>
  <si>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</si>
  <si>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</si>
  <si>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</si>
  <si>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</si>
  <si>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</si>
  <si>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</si>
  <si>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</si>
  <si>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</si>
  <si>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</si>
  <si>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</si>
  <si>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</si>
  <si>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</si>
  <si>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</si>
  <si>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</si>
  <si>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</si>
  <si>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</si>
  <si>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</si>
  <si>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</si>
  <si>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</si>
  <si>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</si>
  <si>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</si>
  <si>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</si>
  <si>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</si>
  <si>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</si>
  <si>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</si>
  <si>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</si>
  <si>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</si>
  <si>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</si>
  <si>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</si>
  <si>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</si>
  <si>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</si>
  <si>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</si>
  <si>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</si>
  <si>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</si>
  <si>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</si>
  <si>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</si>
  <si>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</si>
  <si>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</si>
  <si>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</si>
  <si>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</si>
  <si>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</si>
  <si>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</si>
  <si>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</si>
  <si>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</si>
  <si>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</si>
  <si>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</si>
  <si>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</si>
  <si>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</si>
  <si>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</si>
  <si>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</si>
  <si>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</si>
  <si>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</si>
  <si>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</si>
  <si>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</si>
  <si>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</si>
  <si>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</si>
  <si>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</si>
  <si>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</si>
  <si>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</si>
  <si>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</si>
  <si>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</si>
  <si>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</si>
  <si>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</si>
  <si>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</si>
  <si>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</si>
  <si>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</si>
  <si>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</si>
  <si>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</si>
  <si>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</si>
  <si>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</si>
  <si>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</si>
  <si>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</si>
  <si>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</si>
  <si>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</si>
  <si>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</si>
  <si>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</si>
  <si>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</si>
  <si>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</si>
  <si>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</si>
  <si>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</si>
  <si>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</si>
  <si>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</si>
  <si>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</si>
  <si>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</si>
  <si>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</si>
  <si>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</si>
  <si>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</si>
  <si>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</si>
  <si>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</si>
  <si>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</si>
  <si>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</si>
  <si>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</si>
  <si>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</si>
  <si>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</si>
  <si>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</si>
  <si>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</si>
  <si>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</si>
  <si>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</si>
  <si>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</si>
  <si>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</si>
  <si>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</si>
  <si>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</si>
  <si>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</si>
  <si>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</si>
  <si>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</si>
  <si>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</si>
  <si>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</si>
  <si>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</si>
  <si>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</si>
  <si>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</si>
  <si>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</si>
  <si>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</si>
  <si>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</si>
  <si>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</si>
  <si>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</si>
  <si>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</si>
  <si>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</si>
  <si>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</si>
  <si>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</si>
  <si>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</si>
  <si>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</si>
  <si>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</si>
  <si>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</si>
  <si>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</si>
  <si>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</si>
  <si>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</si>
  <si>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</si>
  <si>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</si>
  <si>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</si>
  <si>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</si>
  <si>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</si>
  <si>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</si>
  <si>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</si>
  <si>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</si>
  <si>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</si>
  <si>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</si>
  <si>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</si>
  <si>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</si>
  <si>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</si>
  <si>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</si>
  <si>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</si>
  <si>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</si>
  <si>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</si>
  <si>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</si>
  <si>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</si>
  <si>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</si>
  <si>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</si>
  <si>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</si>
  <si>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</si>
  <si>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</si>
  <si>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</si>
  <si>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</si>
  <si>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</si>
  <si>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</si>
  <si>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</si>
  <si>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</si>
  <si>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</si>
  <si>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</si>
  <si>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</si>
  <si>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</si>
  <si>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</si>
  <si>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</si>
  <si>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</si>
  <si>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</si>
  <si>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</si>
  <si>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</si>
  <si>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</si>
  <si>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</si>
  <si>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</si>
  <si>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</si>
  <si>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</si>
  <si>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</si>
  <si>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</si>
  <si>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</si>
  <si>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</si>
  <si>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</si>
  <si>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</si>
  <si>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</si>
  <si>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</si>
  <si>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</si>
  <si>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</si>
  <si>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</si>
  <si>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</si>
  <si>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</si>
  <si>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</si>
  <si>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</si>
  <si>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</si>
  <si>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</si>
  <si>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</si>
  <si>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</si>
  <si>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</si>
  <si>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</si>
  <si>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</si>
  <si>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</si>
  <si>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</si>
  <si>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</si>
  <si>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</si>
  <si>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</si>
  <si>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</si>
  <si>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</si>
  <si>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</si>
  <si>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</si>
  <si>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</si>
  <si>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 xml:space="preserve">Average Donation 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</si>
  <si>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</si>
  <si>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</si>
  <si>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</si>
  <si>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</si>
  <si>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</si>
  <si>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</si>
  <si>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</si>
  <si>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</si>
  <si>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</si>
  <si>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</si>
  <si>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</si>
  <si>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</si>
  <si>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</si>
  <si>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</si>
  <si>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</si>
  <si>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</si>
  <si>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</si>
  <si>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</si>
  <si>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</si>
  <si>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</si>
  <si>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</si>
  <si>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</si>
  <si>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</si>
  <si>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</si>
  <si>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</si>
  <si>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</si>
  <si>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</si>
  <si>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</si>
  <si>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</si>
  <si>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</si>
  <si>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</si>
  <si>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</si>
  <si>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</si>
  <si>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category</t>
  </si>
  <si>
    <t>sub-category</t>
  </si>
  <si>
    <t>Row Labels</t>
  </si>
  <si>
    <t>Grand Total</t>
  </si>
  <si>
    <t>Count of outcome</t>
  </si>
  <si>
    <t>(All)</t>
  </si>
  <si>
    <t>Column Labels</t>
  </si>
  <si>
    <t xml:space="preserve">Date Create Coversion </t>
  </si>
  <si>
    <t>Date Ended Coversion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</si>
  <si>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</si>
  <si>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</si>
  <si>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</si>
  <si>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</si>
  <si>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</si>
  <si>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</si>
  <si>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</si>
  <si>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</si>
  <si>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</si>
  <si>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</si>
  <si>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</si>
  <si>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</si>
  <si>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</si>
  <si>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</si>
  <si>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 xml:space="preserve">Number Successful </t>
  </si>
  <si>
    <t xml:space="preserve">Number Failed </t>
  </si>
  <si>
    <t xml:space="preserve">Number Canceled </t>
  </si>
  <si>
    <t xml:space="preserve">Total Projects </t>
  </si>
  <si>
    <t xml:space="preserve">Percentage Successful </t>
  </si>
  <si>
    <t xml:space="preserve">Percentage Failed </t>
  </si>
  <si>
    <t xml:space="preserve">Percentage Canceled 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</si>
  <si>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</si>
  <si>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</si>
  <si>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</si>
  <si>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</si>
  <si>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</si>
  <si>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</si>
  <si>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</si>
  <si>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</si>
  <si>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</si>
  <si>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</si>
  <si>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</si>
  <si>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 xml:space="preserve">Greater than or equal ot 50000 </t>
  </si>
  <si>
    <t xml:space="preserve">Sum of Percentage Successful </t>
  </si>
  <si>
    <t xml:space="preserve">Sum of Percentage Failed </t>
  </si>
  <si>
    <t xml:space="preserve">Sum of Percentage Canceled </t>
  </si>
  <si>
    <t xml:space="preserve"># of backers of successful campaigns </t>
  </si>
  <si>
    <t xml:space="preserve"># of backers of unsuccessful campaigns </t>
  </si>
  <si>
    <t xml:space="preserve">Mean number of backers </t>
  </si>
  <si>
    <t>Median number of backers</t>
  </si>
  <si>
    <t>variance of the number of backers</t>
  </si>
  <si>
    <t xml:space="preserve">standard deviation of backers </t>
  </si>
  <si>
    <t>maximum number of backers</t>
  </si>
  <si>
    <t xml:space="preserve">minimum number of backers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</si>
</sst>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1" fontId="16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16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right"/>
    </xf>
    <xf numFmtId="14" fontId="0" fillId="0" borderId="0" xfId="0" applyNumberFormat="1" applyAlignment="1">
      <alignment horizontal="left"/>
    </xf>
    <xf numFmtId="0" fontId="0" fillId="0" borderId="10" xfId="0" applyBorder="1"/>
    <xf numFmtId="10" fontId="0" fillId="0" borderId="10" xfId="0" applyNumberFormat="1" applyBorder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[excelchallenge.xlsm]Outcome v SubCategory!PivotTable3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vs Sub-Category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'Outcome v SubCategory'!$B$4:$B$5</c:f>
              <c:strCache>
                <c:ptCount val="1"/>
                <c:pt idx="0">
                  <c:v>animation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SubCategory'!$B$6:$B$10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2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F59-BDB0-AE37DF4DA7CA}"/>
            </c:ext>
          </c:extLst>
        </c:ser>
        <c:ser>
          <c:idx val="1"/>
          <c:order val="1"/>
          <c:tx>
            <c:strRef>
              <c:f>'Outcome v SubCategory'!$C$4:$C$5</c:f>
              <c:strCache>
                <c:ptCount val="1"/>
                <c:pt idx="0">
                  <c:v>audio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SubCategory'!$C$6:$C$10</c:f>
              <c:numCache>
                <c:formatCode>General</c:formatCode>
                <c:ptCount val="4"/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10F-4F59-BDB0-AE37DF4DA7CA}"/>
            </c:ext>
          </c:extLst>
        </c:ser>
        <c:ser>
          <c:idx val="2"/>
          <c:order val="2"/>
          <c:tx>
            <c:strRef>
              <c:f>'Outcome v SubCategory'!$D$4:$D$5</c:f>
              <c:strCache>
                <c:ptCount val="1"/>
                <c:pt idx="0">
                  <c:v>documentary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SubCategory'!$D$6:$D$10</c:f>
              <c:numCache>
                <c:formatCode>General</c:formatCode>
                <c:ptCount val="4"/>
                <c:pt idx="0">
                  <c:v>4</c:v>
                </c:pt>
                <c:pt idx="1">
                  <c:v>21</c:v>
                </c:pt>
                <c:pt idx="2">
                  <c:v>1</c:v>
                </c:pt>
                <c:pt idx="3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10F-4F59-BDB0-AE37DF4DA7CA}"/>
            </c:ext>
          </c:extLst>
        </c:ser>
        <c:ser>
          <c:idx val="3"/>
          <c:order val="3"/>
          <c:tx>
            <c:strRef>
              <c:f>'Outcome v SubCategory'!$E$4:$E$5</c:f>
              <c:strCache>
                <c:ptCount val="1"/>
                <c:pt idx="0">
                  <c:v>drama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SubCategory'!$E$6:$E$10</c:f>
              <c:numCache>
                <c:formatCode>General</c:formatCode>
                <c:ptCount val="4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10F-4F59-BDB0-AE37DF4DA7CA}"/>
            </c:ext>
          </c:extLst>
        </c:ser>
        <c:ser>
          <c:idx val="4"/>
          <c:order val="4"/>
          <c:tx>
            <c:strRef>
              <c:f>'Outcome v SubCategory'!$F$4:$F$5</c:f>
              <c:strCache>
                <c:ptCount val="1"/>
                <c:pt idx="0">
                  <c:v>electric music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SubCategory'!$F$6:$F$10</c:f>
              <c:numCache>
                <c:formatCode>General</c:formatCode>
                <c:ptCount val="4"/>
                <c:pt idx="1">
                  <c:v>8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10F-4F59-BDB0-AE37DF4DA7CA}"/>
            </c:ext>
          </c:extLst>
        </c:ser>
        <c:ser>
          <c:idx val="5"/>
          <c:order val="5"/>
          <c:tx>
            <c:strRef>
              <c:f>'Outcome v SubCategory'!$G$4:$G$5</c:f>
              <c:strCache>
                <c:ptCount val="1"/>
                <c:pt idx="0">
                  <c:v>fiction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SubCategory'!$G$6:$G$10</c:f>
              <c:numCache>
                <c:formatCode>General</c:formatCode>
                <c:ptCount val="4"/>
                <c:pt idx="0">
                  <c:v>1</c:v>
                </c:pt>
                <c:pt idx="1">
                  <c:v>7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10F-4F59-BDB0-AE37DF4DA7CA}"/>
            </c:ext>
          </c:extLst>
        </c:ser>
        <c:ser>
          <c:idx val="6"/>
          <c:order val="6"/>
          <c:tx>
            <c:strRef>
              <c:f>'Outcome v SubCategory'!$H$4:$H$5</c:f>
              <c:strCache>
                <c:ptCount val="1"/>
                <c:pt idx="0">
                  <c:v>food trucks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SubCategory'!$H$6:$H$10</c:f>
              <c:numCache>
                <c:formatCode>General</c:formatCode>
                <c:ptCount val="4"/>
                <c:pt idx="0">
                  <c:v>4</c:v>
                </c:pt>
                <c:pt idx="1">
                  <c:v>20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10F-4F59-BDB0-AE37DF4DA7CA}"/>
            </c:ext>
          </c:extLst>
        </c:ser>
        <c:ser>
          <c:idx val="7"/>
          <c:order val="7"/>
          <c:tx>
            <c:strRef>
              <c:f>'Outcome v SubCategory'!$I$4:$I$5</c:f>
              <c:strCache>
                <c:ptCount val="1"/>
                <c:pt idx="0">
                  <c:v>indie rock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SubCategory'!$I$6:$I$10</c:f>
              <c:numCache>
                <c:formatCode>General</c:formatCode>
                <c:ptCount val="4"/>
                <c:pt idx="0">
                  <c:v>3</c:v>
                </c:pt>
                <c:pt idx="1">
                  <c:v>19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10F-4F59-BDB0-AE37DF4DA7CA}"/>
            </c:ext>
          </c:extLst>
        </c:ser>
        <c:ser>
          <c:idx val="8"/>
          <c:order val="8"/>
          <c:tx>
            <c:strRef>
              <c:f>'Outcome v SubCategory'!$J$4:$J$5</c:f>
              <c:strCache>
                <c:ptCount val="1"/>
                <c:pt idx="0">
                  <c:v>jazz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SubCategory'!$J$6:$J$10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10F-4F59-BDB0-AE37DF4DA7CA}"/>
            </c:ext>
          </c:extLst>
        </c:ser>
        <c:ser>
          <c:idx val="9"/>
          <c:order val="9"/>
          <c:tx>
            <c:strRef>
              <c:f>'Outcome v SubCategory'!$K$4:$K$5</c:f>
              <c:strCache>
                <c:ptCount val="1"/>
                <c:pt idx="0">
                  <c:v>metal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SubCategory'!$K$6:$K$10</c:f>
              <c:numCache>
                <c:formatCode>General</c:formatCode>
                <c:ptCount val="4"/>
                <c:pt idx="1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10F-4F59-BDB0-AE37DF4DA7CA}"/>
            </c:ext>
          </c:extLst>
        </c:ser>
        <c:ser>
          <c:idx val="10"/>
          <c:order val="10"/>
          <c:tx>
            <c:strRef>
              <c:f>'Outcome v SubCategory'!$L$4:$L$5</c:f>
              <c:strCache>
                <c:ptCount val="1"/>
                <c:pt idx="0">
                  <c:v>mobile games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SubCategory'!$L$6:$L$10</c:f>
              <c:numCache>
                <c:formatCode>General</c:formatCode>
                <c:ptCount val="4"/>
                <c:pt idx="1">
                  <c:v>8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10F-4F59-BDB0-AE37DF4DA7CA}"/>
            </c:ext>
          </c:extLst>
        </c:ser>
        <c:ser>
          <c:idx val="11"/>
          <c:order val="11"/>
          <c:tx>
            <c:strRef>
              <c:f>'Outcome v SubCategory'!$M$4:$M$5</c:f>
              <c:strCache>
                <c:ptCount val="1"/>
                <c:pt idx="0">
                  <c:v>nonfiction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SubCategory'!$M$6:$M$10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10F-4F59-BDB0-AE37DF4DA7CA}"/>
            </c:ext>
          </c:extLst>
        </c:ser>
        <c:ser>
          <c:idx val="12"/>
          <c:order val="12"/>
          <c:tx>
            <c:strRef>
              <c:f>'Outcome v SubCategory'!$N$4:$N$5</c:f>
              <c:strCache>
                <c:ptCount val="1"/>
                <c:pt idx="0">
                  <c:v>photography books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SubCategory'!$N$6:$N$10</c:f>
              <c:numCache>
                <c:formatCode>General</c:formatCode>
                <c:ptCount val="4"/>
                <c:pt idx="0">
                  <c:v>4</c:v>
                </c:pt>
                <c:pt idx="1">
                  <c:v>11</c:v>
                </c:pt>
                <c:pt idx="2">
                  <c:v>1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10F-4F59-BDB0-AE37DF4DA7CA}"/>
            </c:ext>
          </c:extLst>
        </c:ser>
        <c:ser>
          <c:idx val="13"/>
          <c:order val="13"/>
          <c:tx>
            <c:strRef>
              <c:f>'Outcome v SubCategory'!$O$4:$O$5</c:f>
              <c:strCache>
                <c:ptCount val="1"/>
                <c:pt idx="0">
                  <c:v>plays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SubCategory'!$O$6:$O$10</c:f>
              <c:numCache>
                <c:formatCode>General</c:formatCode>
                <c:ptCount val="4"/>
                <c:pt idx="0">
                  <c:v>23</c:v>
                </c:pt>
                <c:pt idx="1">
                  <c:v>132</c:v>
                </c:pt>
                <c:pt idx="2">
                  <c:v>2</c:v>
                </c:pt>
                <c:pt idx="3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10F-4F59-BDB0-AE37DF4DA7CA}"/>
            </c:ext>
          </c:extLst>
        </c:ser>
        <c:ser>
          <c:idx val="14"/>
          <c:order val="14"/>
          <c:tx>
            <c:strRef>
              <c:f>'Outcome v SubCategory'!$P$4:$P$5</c:f>
              <c:strCache>
                <c:ptCount val="1"/>
                <c:pt idx="0">
                  <c:v>radio &amp; podcasts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SubCategory'!$P$6:$P$10</c:f>
              <c:numCache>
                <c:formatCode>General</c:formatCode>
                <c:ptCount val="4"/>
                <c:pt idx="1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10F-4F59-BDB0-AE37DF4DA7CA}"/>
            </c:ext>
          </c:extLst>
        </c:ser>
        <c:ser>
          <c:idx val="15"/>
          <c:order val="15"/>
          <c:tx>
            <c:strRef>
              <c:f>'Outcome v SubCategory'!$Q$4:$Q$5</c:f>
              <c:strCache>
                <c:ptCount val="1"/>
                <c:pt idx="0">
                  <c:v>rock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SubCategory'!$Q$6:$Q$10</c:f>
              <c:numCache>
                <c:formatCode>General</c:formatCode>
                <c:ptCount val="4"/>
                <c:pt idx="0">
                  <c:v>6</c:v>
                </c:pt>
                <c:pt idx="1">
                  <c:v>30</c:v>
                </c:pt>
                <c:pt idx="3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10F-4F59-BDB0-AE37DF4DA7CA}"/>
            </c:ext>
          </c:extLst>
        </c:ser>
        <c:ser>
          <c:idx val="16"/>
          <c:order val="16"/>
          <c:tx>
            <c:strRef>
              <c:f>'Outcome v SubCategory'!$R$4:$R$5</c:f>
              <c:strCache>
                <c:ptCount val="1"/>
                <c:pt idx="0">
                  <c:v>science fiction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SubCategory'!$R$6:$R$10</c:f>
              <c:numCache>
                <c:formatCode>General</c:formatCode>
                <c:ptCount val="4"/>
                <c:pt idx="1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10F-4F59-BDB0-AE37DF4DA7CA}"/>
            </c:ext>
          </c:extLst>
        </c:ser>
        <c:ser>
          <c:idx val="17"/>
          <c:order val="17"/>
          <c:tx>
            <c:strRef>
              <c:f>'Outcome v SubCategory'!$S$4:$S$5</c:f>
              <c:strCache>
                <c:ptCount val="1"/>
                <c:pt idx="0">
                  <c:v>shorts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SubCategory'!$S$6:$S$10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10F-4F59-BDB0-AE37DF4DA7CA}"/>
            </c:ext>
          </c:extLst>
        </c:ser>
        <c:ser>
          <c:idx val="18"/>
          <c:order val="18"/>
          <c:tx>
            <c:strRef>
              <c:f>'Outcome v SubCategory'!$T$4:$T$5</c:f>
              <c:strCache>
                <c:ptCount val="1"/>
                <c:pt idx="0">
                  <c:v>television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SubCategory'!$T$6:$T$10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10F-4F59-BDB0-AE37DF4DA7CA}"/>
            </c:ext>
          </c:extLst>
        </c:ser>
        <c:ser>
          <c:idx val="19"/>
          <c:order val="19"/>
          <c:tx>
            <c:strRef>
              <c:f>'Outcome v SubCategory'!$U$4:$U$5</c:f>
              <c:strCache>
                <c:ptCount val="1"/>
                <c:pt idx="0">
                  <c:v>translations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SubCategory'!$U$6:$U$10</c:f>
              <c:numCache>
                <c:formatCode>General</c:formatCode>
                <c:ptCount val="4"/>
                <c:pt idx="1">
                  <c:v>7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10F-4F59-BDB0-AE37DF4DA7CA}"/>
            </c:ext>
          </c:extLst>
        </c:ser>
        <c:ser>
          <c:idx val="20"/>
          <c:order val="20"/>
          <c:tx>
            <c:strRef>
              <c:f>'Outcome v SubCategory'!$V$4:$V$5</c:f>
              <c:strCache>
                <c:ptCount val="1"/>
                <c:pt idx="0">
                  <c:v>video games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SubCategory'!$V$6:$V$10</c:f>
              <c:numCache>
                <c:formatCode>General</c:formatCode>
                <c:ptCount val="4"/>
                <c:pt idx="0">
                  <c:v>1</c:v>
                </c:pt>
                <c:pt idx="1">
                  <c:v>15</c:v>
                </c:pt>
                <c:pt idx="2">
                  <c:v>2</c:v>
                </c:pt>
                <c:pt idx="3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10F-4F59-BDB0-AE37DF4DA7CA}"/>
            </c:ext>
          </c:extLst>
        </c:ser>
        <c:ser>
          <c:idx val="21"/>
          <c:order val="21"/>
          <c:tx>
            <c:strRef>
              <c:f>'Outcome v SubCategory'!$W$4:$W$5</c:f>
              <c:strCache>
                <c:ptCount val="1"/>
                <c:pt idx="0">
                  <c:v>wearables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SubCategory'!$W$6:$W$10</c:f>
              <c:numCache>
                <c:formatCode>General</c:formatCode>
                <c:ptCount val="4"/>
                <c:pt idx="1">
                  <c:v>16</c:v>
                </c:pt>
                <c:pt idx="2">
                  <c:v>1</c:v>
                </c:pt>
                <c:pt idx="3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10F-4F59-BDB0-AE37DF4DA7CA}"/>
            </c:ext>
          </c:extLst>
        </c:ser>
        <c:ser>
          <c:idx val="22"/>
          <c:order val="22"/>
          <c:tx>
            <c:strRef>
              <c:f>'Outcome v SubCategory'!$X$4:$X$5</c:f>
              <c:strCache>
                <c:ptCount val="1"/>
                <c:pt idx="0">
                  <c:v>web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SubCategory'!$X$6:$X$10</c:f>
              <c:numCache>
                <c:formatCode>General</c:formatCode>
                <c:ptCount val="4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10F-4F59-BDB0-AE37DF4DA7CA}"/>
            </c:ext>
          </c:extLst>
        </c:ser>
        <c:ser>
          <c:idx val="23"/>
          <c:order val="23"/>
          <c:tx>
            <c:strRef>
              <c:f>'Outcome v SubCategory'!$Y$4:$Y$5</c:f>
              <c:strCache>
                <c:ptCount val="1"/>
                <c:pt idx="0">
                  <c:v>world music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'Outcome v SubCategory'!$A$6:$A$10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'Outcome v SubCategory'!$Y$6:$Y$10</c:f>
              <c:numCache>
                <c:formatCode>General</c:formatCode>
                <c:ptCount val="4"/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110F-4F59-BDB0-AE37DF4DA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096696"/>
        <c:axId val="589095384"/>
      </c:barChart>
      <c:catAx>
        <c:axId val="589096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095384"/>
        <c:crosses val="autoZero"/>
        <c:auto val="1"/>
        <c:lblAlgn val="ctr"/>
        <c:lblOffset val="100"/>
        <c:noMultiLvlLbl val="0"/>
      </c:catAx>
      <c:valAx>
        <c:axId val="58909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09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[excelchallenge.xlsm]Outcome v Date!PivotTable6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Outcome</a:t>
            </a:r>
            <a:r>
              <a:rPr lang="en-US" baseline="0"/>
              <a:t> State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v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 v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v Date'!$B$6:$B$18</c:f>
              <c:numCache>
                <c:formatCode>General</c:formatCode>
                <c:ptCount val="12"/>
                <c:pt idx="0">
                  <c:v>12</c:v>
                </c:pt>
                <c:pt idx="1">
                  <c:v>4</c:v>
                </c:pt>
                <c:pt idx="2">
                  <c:v>7</c:v>
                </c:pt>
                <c:pt idx="3">
                  <c:v>1</c:v>
                </c:pt>
                <c:pt idx="4">
                  <c:v>6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98-462D-8EAF-BCAC97602ED5}"/>
            </c:ext>
          </c:extLst>
        </c:ser>
        <c:ser>
          <c:idx val="1"/>
          <c:order val="1"/>
          <c:tx>
            <c:strRef>
              <c:f>'Outcome v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 v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v Date'!$C$6:$C$18</c:f>
              <c:numCache>
                <c:formatCode>General</c:formatCode>
                <c:ptCount val="12"/>
                <c:pt idx="0">
                  <c:v>34</c:v>
                </c:pt>
                <c:pt idx="1">
                  <c:v>33</c:v>
                </c:pt>
                <c:pt idx="2">
                  <c:v>30</c:v>
                </c:pt>
                <c:pt idx="3">
                  <c:v>22</c:v>
                </c:pt>
                <c:pt idx="4">
                  <c:v>29</c:v>
                </c:pt>
                <c:pt idx="5">
                  <c:v>29</c:v>
                </c:pt>
                <c:pt idx="6">
                  <c:v>38</c:v>
                </c:pt>
                <c:pt idx="7">
                  <c:v>38</c:v>
                </c:pt>
                <c:pt idx="8">
                  <c:v>22</c:v>
                </c:pt>
                <c:pt idx="9">
                  <c:v>33</c:v>
                </c:pt>
                <c:pt idx="10">
                  <c:v>26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98-462D-8EAF-BCAC97602ED5}"/>
            </c:ext>
          </c:extLst>
        </c:ser>
        <c:ser>
          <c:idx val="2"/>
          <c:order val="2"/>
          <c:tx>
            <c:strRef>
              <c:f>'Outcome v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 v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v Date'!$D$6:$D$18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E98-462D-8EAF-BCAC97602ED5}"/>
            </c:ext>
          </c:extLst>
        </c:ser>
        <c:ser>
          <c:idx val="3"/>
          <c:order val="3"/>
          <c:tx>
            <c:strRef>
              <c:f>'Outcome v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'Outcome v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v Date'!$E$6:$E$18</c:f>
              <c:numCache>
                <c:formatCode>General</c:formatCode>
                <c:ptCount val="12"/>
                <c:pt idx="0">
                  <c:v>53</c:v>
                </c:pt>
                <c:pt idx="1">
                  <c:v>40</c:v>
                </c:pt>
                <c:pt idx="2">
                  <c:v>45</c:v>
                </c:pt>
                <c:pt idx="3">
                  <c:v>36</c:v>
                </c:pt>
                <c:pt idx="4">
                  <c:v>39</c:v>
                </c:pt>
                <c:pt idx="5">
                  <c:v>52</c:v>
                </c:pt>
                <c:pt idx="6">
                  <c:v>51</c:v>
                </c:pt>
                <c:pt idx="7">
                  <c:v>41</c:v>
                </c:pt>
                <c:pt idx="8">
                  <c:v>42</c:v>
                </c:pt>
                <c:pt idx="9">
                  <c:v>57</c:v>
                </c:pt>
                <c:pt idx="10">
                  <c:v>57</c:v>
                </c:pt>
                <c:pt idx="11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E98-462D-8EAF-BCAC97602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0503176"/>
        <c:axId val="640501864"/>
      </c:lineChart>
      <c:catAx>
        <c:axId val="64050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01864"/>
        <c:crosses val="autoZero"/>
        <c:auto val="1"/>
        <c:lblAlgn val="ctr"/>
        <c:lblOffset val="100"/>
        <c:noMultiLvlLbl val="0"/>
      </c:catAx>
      <c:valAx>
        <c:axId val="64050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0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[excelchallenge.xlsm]Bonus1!PivotTable5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Bonus1!$B$16</c:f>
              <c:strCache>
                <c:ptCount val="1"/>
                <c:pt idx="0">
                  <c:v>Sum of Percentage Successful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Bonus1!$A$17:$A$29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ot 50000 </c:v>
                </c:pt>
                <c:pt idx="11">
                  <c:v>Less than 1000</c:v>
                </c:pt>
              </c:strCache>
            </c:strRef>
          </c:cat>
          <c:val>
            <c:numRef>
              <c:f>Bonus1!$B$17:$B$29</c:f>
              <c:numCache>
                <c:formatCode>0.00%</c:formatCode>
                <c:ptCount val="12"/>
                <c:pt idx="0">
                  <c:v>0.21383647798742139</c:v>
                </c:pt>
                <c:pt idx="1">
                  <c:v>0.9634703196347032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9.0909090909090912E-2</c:v>
                </c:pt>
                <c:pt idx="6">
                  <c:v>0.1</c:v>
                </c:pt>
                <c:pt idx="7">
                  <c:v>0.4</c:v>
                </c:pt>
                <c:pt idx="8">
                  <c:v>0.15384615384615385</c:v>
                </c:pt>
                <c:pt idx="9">
                  <c:v>0.65437788018433185</c:v>
                </c:pt>
                <c:pt idx="10">
                  <c:v>0.59298245614035083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B1-4BCB-AAA0-C7575C961448}"/>
            </c:ext>
          </c:extLst>
        </c:ser>
        <c:ser>
          <c:idx val="1"/>
          <c:order val="1"/>
          <c:tx>
            <c:strRef>
              <c:f>Bonus1!$C$16</c:f>
              <c:strCache>
                <c:ptCount val="1"/>
                <c:pt idx="0">
                  <c:v>Sum of 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Bonus1!$A$17:$A$29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ot 50000 </c:v>
                </c:pt>
                <c:pt idx="11">
                  <c:v>Less than 1000</c:v>
                </c:pt>
              </c:strCache>
            </c:strRef>
          </c:cat>
          <c:val>
            <c:numRef>
              <c:f>Bonus1!$C$17:$C$29</c:f>
              <c:numCache>
                <c:formatCode>0.00%</c:formatCode>
                <c:ptCount val="12"/>
                <c:pt idx="0">
                  <c:v>0.63522012578616349</c:v>
                </c:pt>
                <c:pt idx="1">
                  <c:v>3.1963470319634701E-2</c:v>
                </c:pt>
                <c:pt idx="2">
                  <c:v>0.8</c:v>
                </c:pt>
                <c:pt idx="3">
                  <c:v>0.7</c:v>
                </c:pt>
                <c:pt idx="4">
                  <c:v>0.875</c:v>
                </c:pt>
                <c:pt idx="5">
                  <c:v>0.54545454545454541</c:v>
                </c:pt>
                <c:pt idx="6">
                  <c:v>0.8</c:v>
                </c:pt>
                <c:pt idx="7">
                  <c:v>0.4</c:v>
                </c:pt>
                <c:pt idx="8">
                  <c:v>0.53846153846153844</c:v>
                </c:pt>
                <c:pt idx="9">
                  <c:v>0.29493087557603687</c:v>
                </c:pt>
                <c:pt idx="10">
                  <c:v>0.35087719298245612</c:v>
                </c:pt>
                <c:pt idx="11">
                  <c:v>0.9375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B1-4BCB-AAA0-C7575C961448}"/>
            </c:ext>
          </c:extLst>
        </c:ser>
        <c:ser>
          <c:idx val="2"/>
          <c:order val="2"/>
          <c:tx>
            <c:strRef>
              <c:f>Bonus1!$D$16</c:f>
              <c:strCache>
                <c:ptCount val="1"/>
                <c:pt idx="0">
                  <c:v>Sum of Percentage Canceled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Bonus1!$A$17:$A$29</c:f>
              <c:strCache>
                <c:ptCount val="12"/>
                <c:pt idx="0">
                  <c:v>1000 to 4999</c:v>
                </c:pt>
                <c:pt idx="1">
                  <c:v>10000 to 14999</c:v>
                </c:pt>
                <c:pt idx="2">
                  <c:v>15000 to 19999</c:v>
                </c:pt>
                <c:pt idx="3">
                  <c:v>20000 to 24999</c:v>
                </c:pt>
                <c:pt idx="4">
                  <c:v>25000 to 29999</c:v>
                </c:pt>
                <c:pt idx="5">
                  <c:v>30000 to 34999</c:v>
                </c:pt>
                <c:pt idx="6">
                  <c:v>35000 to 39999</c:v>
                </c:pt>
                <c:pt idx="7">
                  <c:v>40000 to 44999</c:v>
                </c:pt>
                <c:pt idx="8">
                  <c:v>45000 to 49999</c:v>
                </c:pt>
                <c:pt idx="9">
                  <c:v>5000 to 9999</c:v>
                </c:pt>
                <c:pt idx="10">
                  <c:v>Greater than or equal ot 50000 </c:v>
                </c:pt>
                <c:pt idx="11">
                  <c:v>Less than 1000</c:v>
                </c:pt>
              </c:strCache>
            </c:strRef>
          </c:cat>
          <c:val>
            <c:numRef>
              <c:f>Bonus1!$D$17:$D$29</c:f>
              <c:numCache>
                <c:formatCode>0.00%</c:formatCode>
                <c:ptCount val="12"/>
                <c:pt idx="0">
                  <c:v>6.2893081761006289E-2</c:v>
                </c:pt>
                <c:pt idx="1">
                  <c:v>4.5662100456621002E-3</c:v>
                </c:pt>
                <c:pt idx="2">
                  <c:v>0.2</c:v>
                </c:pt>
                <c:pt idx="3">
                  <c:v>0</c:v>
                </c:pt>
                <c:pt idx="4">
                  <c:v>0.125</c:v>
                </c:pt>
                <c:pt idx="5">
                  <c:v>0.27272727272727271</c:v>
                </c:pt>
                <c:pt idx="6">
                  <c:v>0.1</c:v>
                </c:pt>
                <c:pt idx="7">
                  <c:v>0.1</c:v>
                </c:pt>
                <c:pt idx="8">
                  <c:v>0.30769230769230771</c:v>
                </c:pt>
                <c:pt idx="9">
                  <c:v>8.755760368663594E-2</c:v>
                </c:pt>
                <c:pt idx="10">
                  <c:v>4.5614035087719301E-2</c:v>
                </c:pt>
                <c:pt idx="11">
                  <c:v>4.1666666666666664E-2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B1-4BCB-AAA0-C7575C961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89248"/>
        <c:axId val="662312728"/>
      </c:lineChart>
      <c:catAx>
        <c:axId val="66838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312728"/>
        <c:crosses val="autoZero"/>
        <c:auto val="1"/>
        <c:lblAlgn val="ctr"/>
        <c:lblOffset val="100"/>
        <c:noMultiLvlLbl val="0"/>
      </c:catAx>
      <c:valAx>
        <c:axId val="66231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  <a:r>
                  <a:rPr lang="en-US" baseline="0"/>
                  <a:t> of Outcome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404090</xdr:colOff>
      <xdr:row>10</xdr:row>
      <xdr:rowOff>184727</xdr:rowOff>
    </xdr:from>
    <xdr:to>
      <xdr:col>11</xdr:col>
      <xdr:colOff>11545</xdr:colOff>
      <xdr:row>39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FB8218-C897-44B3-B70A-F728ED2E6E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577279</xdr:colOff>
      <xdr:row>20</xdr:row>
      <xdr:rowOff>96116</xdr:rowOff>
    </xdr:from>
    <xdr:to>
      <xdr:col>7</xdr:col>
      <xdr:colOff>404091</xdr:colOff>
      <xdr:row>48</xdr:row>
      <xdr:rowOff>72159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30E073-F284-4675-93E2-427ED3DE0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802410</xdr:colOff>
      <xdr:row>14</xdr:row>
      <xdr:rowOff>88900</xdr:rowOff>
    </xdr:from>
    <xdr:to>
      <xdr:col>14</xdr:col>
      <xdr:colOff>646546</xdr:colOff>
      <xdr:row>36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630A496-9FAB-4FA4-8882-6260CEFCE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1428750</xdr:colOff>
      <xdr:row>9</xdr:row>
      <xdr:rowOff>76200</xdr:rowOff>
    </xdr:from>
    <xdr:to>
      <xdr:col>3</xdr:col>
      <xdr:colOff>428625</xdr:colOff>
      <xdr:row>23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173F746-5569-4A64-9096-890A77159FBE}"/>
            </a:ext>
          </a:extLst>
        </xdr:cNvPr>
        <xdr:cNvSpPr txBox="1"/>
      </xdr:nvSpPr>
      <xdr:spPr>
        <a:xfrm>
          <a:off x="1428750" y="1876425"/>
          <a:ext cx="6124575" cy="2867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Use your data to determine whether the mean or the median summarizes the data more meaningfully.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mean summerizes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data more meanifully, knowing the middle number value of both successful campaigns and unsuccesful campaigns does not seem to provide much insight. 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b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 Use your data to determine if there is more variability with successful or unsuccessful campaigns. Does this make sense? Why or why not?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Variability looks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identical assuming I wrote the expressions correctly. Despite having a different average number of backers, the median, min, max, and standard deviation are all identical... thus the variance is also identical for both successful and unsucessful campaigns. 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</xdr:rowOff>
    </xdr:from>
    <xdr:to>
      <xdr:col>16</xdr:col>
      <xdr:colOff>247650</xdr:colOff>
      <xdr:row>15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FCA5022-779C-43AE-BA6C-2BC32BEECE38}"/>
            </a:ext>
          </a:extLst>
        </xdr:cNvPr>
        <xdr:cNvSpPr txBox="1"/>
      </xdr:nvSpPr>
      <xdr:spPr>
        <a:xfrm>
          <a:off x="1314450" y="800101"/>
          <a:ext cx="944880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Given the provided data, what are three conclusions we can draw about crowdfunding campaigns?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-"Plays" Sub Category was the most Failed and Unsuccessful sub category.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-Out of 1000 (category/sub-category) more than half were successful.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-Goals with less than 1000 had the highest failure percentage. 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What are some limitations of this dataset?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-Some of the data had to be manipulated to allow us to delve deeper into the data.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Category and Sub Category are not very descriptive, and some 	of the data collected was not even useful for our analysis. 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What are some other possible tables and/or graphs that we could create, and what additional value would they provide?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-We could make a pie chart or various types of pivot tables to illustrate the data 	depending on what you wanted to focus on. 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cabaza" refreshedDate="44646.962876967591" createdVersion="7" refreshedVersion="7" minRefreshableVersion="3" recordCount="1000" xr:uid="{787612B3-1A9E-4337-B27A-53262F252822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1">
      <sharedItems containsSemiMixedTypes="0" containsString="0" containsNumber="1" minValue="0" maxValue="2338.833333333333"/>
    </cacheField>
    <cacheField name="Average Donation " numFmtId="0">
      <sharedItems containsSemiMixedTypes="0" containsString="0" containsNumber="1" minValue="0" maxValue="113.17073170731707"/>
    </cacheField>
    <cacheField name="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cabaza" refreshedDate="44647.48214699074" createdVersion="7" refreshedVersion="7" minRefreshableVersion="3" recordCount="1000" xr:uid="{8ED79195-2B62-4F24-874D-A54F78623E4A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1">
      <sharedItems containsSemiMixedTypes="0" containsString="0" containsNumber="1" minValue="0" maxValue="2338.833333333333"/>
    </cacheField>
    <cacheField name="Average Donation " numFmtId="0">
      <sharedItems containsSemiMixedTypes="0" containsString="0" containsNumber="1" minValue="0" maxValue="113.17073170731707"/>
    </cacheField>
    <cacheField name="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Date Create Coversion " numFmtId="14">
      <sharedItems containsSemiMixedTypes="0" containsNonDate="0" containsDate="1" containsString="0" minDate="1974-01-01T19:48:00" maxDate="1975-01-03T19:48:00" count="879">
        <d v="1974-08-04T17:24:00"/>
        <d v="1974-06-19T02:54:00"/>
        <d v="1974-05-22T15:00:00"/>
        <d v="1974-12-17T22:06:00"/>
        <d v="1974-11-27T15:00:00"/>
        <d v="1974-04-08T00:30:00"/>
        <d v="1974-10-09T05:18:00"/>
        <d v="1974-07-25T00:30:00"/>
        <d v="1974-01-23T00:30:00"/>
        <d v="1974-05-16T17:18:00"/>
        <d v="1974-01-23T12:30:00"/>
        <d v="1974-01-27T07:42:00"/>
        <d v="1974-12-25T02:54:00"/>
        <d v="1974-08-24T07:42:00"/>
        <d v="1974-03-21T12:36:00"/>
        <d v="1974-12-30T00:36:00"/>
        <d v="1974-05-29T05:24:00"/>
        <d v="1974-02-07T15:00:00"/>
        <d v="1974-11-14T05:18:00"/>
        <d v="1974-12-01T22:12:00"/>
        <d v="1974-06-16T22:06:00"/>
        <d v="1974-03-01T02:54:00"/>
        <d v="1974-10-29T10:06:00"/>
        <d v="1974-11-30T03:00:00"/>
        <d v="1974-06-13T05:18:00"/>
        <d v="1974-02-20T05:18:00"/>
        <d v="1974-11-10T07:42:00"/>
        <d v="1974-07-30T02:54:00"/>
        <d v="1974-01-04T22:12:00"/>
        <d v="1974-11-09T05:18:00"/>
        <d v="1974-12-10T00:30:00"/>
        <d v="1974-08-08T12:36:00"/>
        <d v="1974-10-21T03:00:00"/>
        <d v="1974-06-23T19:42:00"/>
        <d v="1974-09-21T19:42:00"/>
        <d v="1974-11-27T12:36:00"/>
        <d v="1974-02-12T03:00:00"/>
        <d v="1974-12-23T12:30:00"/>
        <d v="1974-01-30T00:30:00"/>
        <d v="1974-04-26T03:00:00"/>
        <d v="1974-01-16T12:30:00"/>
        <d v="1974-04-08T17:18:00"/>
        <d v="1974-02-24T22:06:00"/>
        <d v="1974-06-16T12:30:00"/>
        <d v="1974-12-03T05:18:00"/>
        <d v="1974-09-07T17:18:00"/>
        <d v="1974-01-19T19:42:00"/>
        <d v="1974-06-04T19:42:00"/>
        <d v="1974-07-20T02:54:00"/>
        <d v="1974-12-24T22:06:00"/>
        <d v="1974-05-11T19:42:00"/>
        <d v="1974-03-23T14:54:00"/>
        <d v="1974-01-26T17:18:00"/>
        <d v="1974-06-10T00:30:00"/>
        <d v="1974-10-27T03:00:00"/>
        <d v="1974-11-10T05:18:00"/>
        <d v="1974-07-03T12:36:00"/>
        <d v="1974-10-08T00:30:00"/>
        <d v="1974-07-28T22:06:00"/>
        <d v="1974-09-29T22:06:00"/>
        <d v="1974-04-03T19:42:00"/>
        <d v="1974-02-11T15:00:00"/>
        <d v="1974-07-18T02:54:00"/>
        <d v="1974-09-25T10:06:00"/>
        <d v="1974-11-07T10:06:00"/>
        <d v="1974-02-09T03:00:00"/>
        <d v="1974-07-12T07:42:00"/>
        <d v="1974-01-03T10:12:00"/>
        <d v="1974-10-04T10:06:00"/>
        <d v="1974-02-05T05:24:00"/>
        <d v="1974-01-31T12:30:00"/>
        <d v="1974-12-29T00:36:00"/>
        <d v="1974-07-20T17:18:00"/>
        <d v="1974-09-10T05:24:00"/>
        <d v="1974-08-16T17:18:00"/>
        <d v="1974-11-08T17:18:00"/>
        <d v="1974-07-04T19:48:00"/>
        <d v="1974-01-27T22:06:00"/>
        <d v="1974-10-30T17:18:00"/>
        <d v="1974-11-05T19:42:00"/>
        <d v="1974-10-07T17:18:00"/>
        <d v="1974-10-16T07:48:00"/>
        <d v="1974-11-27T07:48:00"/>
        <d v="1974-08-29T00:30:00"/>
        <d v="1974-04-04T22:06:00"/>
        <d v="1974-03-03T19:42:00"/>
        <d v="1974-07-14T22:06:00"/>
        <d v="1974-02-13T03:00:00"/>
        <d v="1974-07-13T02:54:00"/>
        <d v="1974-01-11T10:06:00"/>
        <d v="1974-08-13T15:00:00"/>
        <d v="1974-08-29T22:06:00"/>
        <d v="1974-01-18T07:42:00"/>
        <d v="1974-04-13T07:42:00"/>
        <d v="1974-12-05T07:42:00"/>
        <d v="1974-12-24T07:42:00"/>
        <d v="1974-02-13T07:48:00"/>
        <d v="1974-07-23T07:42:00"/>
        <d v="1974-06-28T22:12:00"/>
        <d v="1974-03-07T14:54:00"/>
        <d v="1974-07-07T17:24:00"/>
        <d v="1974-11-02T12:30:00"/>
        <d v="1974-01-30T14:54:00"/>
        <d v="1974-09-27T22:06:00"/>
        <d v="1974-04-29T17:18:00"/>
        <d v="1974-12-20T17:18:00"/>
        <d v="1974-10-31T10:06:00"/>
        <d v="1974-03-24T14:54:00"/>
        <d v="1974-05-28T05:24:00"/>
        <d v="1974-11-14T12:30:00"/>
        <d v="1974-04-10T12:30:00"/>
        <d v="1974-06-19T14:54:00"/>
        <d v="1974-10-09T02:54:00"/>
        <d v="1974-12-05T12:30:00"/>
        <d v="1974-10-15T17:24:00"/>
        <d v="1974-07-28T14:54:00"/>
        <d v="1974-03-04T22:06:00"/>
        <d v="1974-05-29T15:00:00"/>
        <d v="1974-06-12T17:18:00"/>
        <d v="1974-07-13T05:18:00"/>
        <d v="1974-06-29T03:00:00"/>
        <d v="1974-08-04T07:48:00"/>
        <d v="1974-12-08T22:06:00"/>
        <d v="1974-11-15T07:42:00"/>
        <d v="1974-08-30T17:18:00"/>
        <d v="1974-01-14T02:54:00"/>
        <d v="1974-01-24T19:42:00"/>
        <d v="1974-07-05T22:12:00"/>
        <d v="1974-03-08T07:42:00"/>
        <d v="1974-05-23T19:48:00"/>
        <d v="1974-10-21T07:48:00"/>
        <d v="1974-02-28T19:42:00"/>
        <d v="1974-02-23T10:06:00"/>
        <d v="1974-04-27T03:00:00"/>
        <d v="1974-06-11T19:42:00"/>
        <d v="1974-01-28T19:42:00"/>
        <d v="1974-04-11T02:54:00"/>
        <d v="1974-07-13T14:54:00"/>
        <d v="1974-10-25T17:24:00"/>
        <d v="1974-07-18T19:42:00"/>
        <d v="1974-01-18T19:42:00"/>
        <d v="1974-12-12T10:06:00"/>
        <d v="1974-06-21T00:30:00"/>
        <d v="1974-03-09T15:00:00"/>
        <d v="1974-08-24T12:30:00"/>
        <d v="1974-10-04T05:18:00"/>
        <d v="1974-04-20T15:00:00"/>
        <d v="1974-11-24T03:00:00"/>
        <d v="1974-06-12T00:30:00"/>
        <d v="1974-09-18T10:12:00"/>
        <d v="1974-04-13T05:18:00"/>
        <d v="1974-08-21T07:42:00"/>
        <d v="1974-01-09T07:42:00"/>
        <d v="1974-12-23T10:06:00"/>
        <d v="1974-05-26T22:12:00"/>
        <d v="1974-08-05T17:24:00"/>
        <d v="1974-12-04T05:18:00"/>
        <d v="1974-12-07T07:42:00"/>
        <d v="1974-07-29T02:54:00"/>
        <d v="1974-11-23T07:48:00"/>
        <d v="1974-10-12T22:06:00"/>
        <d v="1974-10-11T17:18:00"/>
        <d v="1974-10-04T22:06:00"/>
        <d v="1974-02-05T12:36:00"/>
        <d v="1974-05-06T14:54:00"/>
        <d v="1974-11-30T22:12:00"/>
        <d v="1974-03-31T19:42:00"/>
        <d v="1974-10-05T02:54:00"/>
        <d v="1974-06-03T22:06:00"/>
        <d v="1974-06-16T00:30:00"/>
        <d v="1974-05-04T07:42:00"/>
        <d v="1974-07-30T07:42:00"/>
        <d v="1974-09-01T10:06:00"/>
        <d v="1974-09-01T17:18:00"/>
        <d v="1974-02-01T19:48:00"/>
        <d v="1974-10-10T00:30:00"/>
        <d v="1974-04-28T02:54:00"/>
        <d v="1974-01-09T00:30:00"/>
        <d v="1974-10-11T07:42:00"/>
        <d v="1974-12-12T05:18:00"/>
        <d v="1974-01-26T02:54:00"/>
        <d v="1974-12-07T22:06:00"/>
        <d v="1974-11-02T10:06:00"/>
        <d v="1974-06-10T07:42:00"/>
        <d v="1974-04-25T22:12:00"/>
        <d v="1974-06-29T15:00:00"/>
        <d v="1974-08-14T10:12:00"/>
        <d v="1974-05-06T00:30:00"/>
        <d v="1974-12-02T17:18:00"/>
        <d v="1974-06-13T19:42:00"/>
        <d v="1974-10-29T22:06:00"/>
        <d v="1974-07-28T05:18:00"/>
        <d v="1974-11-10T02:54:00"/>
        <d v="1974-10-01T00:30:00"/>
        <d v="1974-01-22T17:18:00"/>
        <d v="1974-07-21T07:42:00"/>
        <d v="1974-06-16T14:54:00"/>
        <d v="1974-03-05T22:06:00"/>
        <d v="1974-09-15T07:48:00"/>
        <d v="1974-02-15T17:18:00"/>
        <d v="1974-11-18T02:54:00"/>
        <d v="1974-01-06T17:24:00"/>
        <d v="1974-11-13T02:54:00"/>
        <d v="1974-10-14T22:12:00"/>
        <d v="1974-08-20T17:18:00"/>
        <d v="1974-09-19T19:48:00"/>
        <d v="1974-05-14T10:06:00"/>
        <d v="1974-12-30T12:36:00"/>
        <d v="1974-01-31T22:06:00"/>
        <d v="1974-01-24T00:30:00"/>
        <d v="1974-11-30T00:36:00"/>
        <d v="1974-03-11T00:36:00"/>
        <d v="1974-12-07T10:06:00"/>
        <d v="1974-03-09T22:12:00"/>
        <d v="1974-04-06T19:42:00"/>
        <d v="1974-02-24T14:54:00"/>
        <d v="1974-04-01T05:18:00"/>
        <d v="1974-06-23T12:30:00"/>
        <d v="1974-08-15T14:54:00"/>
        <d v="1974-06-22T17:18:00"/>
        <d v="1974-06-08T07:42:00"/>
        <d v="1974-01-10T17:18:00"/>
        <d v="1974-07-16T00:30:00"/>
        <d v="1974-09-28T19:42:00"/>
        <d v="1974-12-29T15:00:00"/>
        <d v="1974-05-04T14:54:00"/>
        <d v="1974-08-28T17:18:00"/>
        <d v="1974-02-22T17:18:00"/>
        <d v="1974-10-07T00:30:00"/>
        <d v="1974-09-18T00:36:00"/>
        <d v="1974-12-13T05:18:00"/>
        <d v="1974-06-07T12:30:00"/>
        <d v="1974-10-18T10:12:00"/>
        <d v="1974-07-26T14:54:00"/>
        <d v="1974-06-06T07:42:00"/>
        <d v="1974-09-26T14:54:00"/>
        <d v="1974-10-26T10:12:00"/>
        <d v="1974-06-15T12:30:00"/>
        <d v="1974-06-05T17:18:00"/>
        <d v="1974-05-12T05:18:00"/>
        <d v="1974-09-12T17:24:00"/>
        <d v="1974-07-02T12:36:00"/>
        <d v="1974-07-02T17:24:00"/>
        <d v="1974-04-18T07:48:00"/>
        <d v="1974-05-20T07:42:00"/>
        <d v="1974-02-16T05:18:00"/>
        <d v="1974-09-18T19:48:00"/>
        <d v="1974-02-11T03:00:00"/>
        <d v="1974-08-10T10:12:00"/>
        <d v="1974-04-26T22:12:00"/>
        <d v="1974-09-11T07:48:00"/>
        <d v="1974-04-18T05:24:00"/>
        <d v="1974-01-24T14:54:00"/>
        <d v="1974-02-15T22:06:00"/>
        <d v="1974-01-01T19:48:00"/>
        <d v="1974-04-24T19:48:00"/>
        <d v="1974-08-08T07:48:00"/>
        <d v="1974-06-27T03:00:00"/>
        <d v="1974-04-13T17:18:00"/>
        <d v="1974-04-11T17:18:00"/>
        <d v="1974-11-28T17:24:00"/>
        <d v="1974-02-03T12:36:00"/>
        <d v="1974-08-05T15:00:00"/>
        <d v="1974-12-14T17:18:00"/>
        <d v="1974-10-09T14:54:00"/>
        <d v="1974-10-14T15:00:00"/>
        <d v="1974-12-05T05:18:00"/>
        <d v="1974-03-25T22:06:00"/>
        <d v="1974-01-20T22:06:00"/>
        <d v="1974-04-17T00:36:00"/>
        <d v="1974-11-13T17:18:00"/>
        <d v="1974-10-16T03:00:00"/>
        <d v="1974-03-22T00:36:00"/>
        <d v="1974-08-23T02:54:00"/>
        <d v="1974-03-27T02:54:00"/>
        <d v="1974-09-02T10:06:00"/>
        <d v="1974-09-09T19:48:00"/>
        <d v="1974-07-14T07:42:00"/>
        <d v="1974-03-22T07:42:00"/>
        <d v="1974-07-24T00:30:00"/>
        <d v="1974-05-03T12:30:00"/>
        <d v="1974-03-07T05:18:00"/>
        <d v="1974-03-22T12:30:00"/>
        <d v="1974-01-28T17:18:00"/>
        <d v="1974-11-19T00:30:00"/>
        <d v="1974-05-19T07:42:00"/>
        <d v="1974-11-28T10:12:00"/>
        <d v="1974-05-28T10:12:00"/>
        <d v="1974-08-13T17:24:00"/>
        <d v="1974-08-14T07:48:00"/>
        <d v="1974-10-07T19:42:00"/>
        <d v="1974-07-08T05:24:00"/>
        <d v="1974-11-13T14:54:00"/>
        <d v="1974-08-08T17:24:00"/>
        <d v="1974-08-30T00:30:00"/>
        <d v="1974-08-15T22:06:00"/>
        <d v="1974-10-03T02:54:00"/>
        <d v="1974-03-30T17:18:00"/>
        <d v="1974-02-17T05:18:00"/>
        <d v="1974-03-04T19:42:00"/>
        <d v="1974-01-10T19:42:00"/>
        <d v="1974-03-20T17:24:00"/>
        <d v="1974-06-10T10:06:00"/>
        <d v="1974-12-27T22:12:00"/>
        <d v="1974-09-27T00:30:00"/>
        <d v="1974-05-31T12:36:00"/>
        <d v="1974-01-23T07:42:00"/>
        <d v="1974-02-19T10:06:00"/>
        <d v="1974-02-15T12:30:00"/>
        <d v="1974-02-02T19:48:00"/>
        <d v="1974-06-04T14:54:00"/>
        <d v="1974-07-19T17:18:00"/>
        <d v="1974-08-07T12:36:00"/>
        <d v="1974-12-19T14:54:00"/>
        <d v="1974-11-22T12:36:00"/>
        <d v="1974-09-11T17:24:00"/>
        <d v="1974-10-17T19:48:00"/>
        <d v="1974-03-13T17:24:00"/>
        <d v="1974-04-29T05:18:00"/>
        <d v="1974-11-21T12:36:00"/>
        <d v="1974-12-27T12:36:00"/>
        <d v="1974-02-04T19:48:00"/>
        <d v="1974-12-27T03:00:00"/>
        <d v="1974-03-06T05:18:00"/>
        <d v="1974-10-05T00:30:00"/>
        <d v="1974-03-13T00:36:00"/>
        <d v="1974-07-26T12:30:00"/>
        <d v="1974-05-10T14:54:00"/>
        <d v="1974-05-22T19:48:00"/>
        <d v="1974-10-22T07:48:00"/>
        <d v="1974-07-21T12:30:00"/>
        <d v="1974-10-07T05:18:00"/>
        <d v="1974-07-06T17:24:00"/>
        <d v="1974-09-18T07:48:00"/>
        <d v="1974-07-16T12:30:00"/>
        <d v="1974-07-26T02:54:00"/>
        <d v="1974-08-02T15:00:00"/>
        <d v="1974-12-14T05:18:00"/>
        <d v="1974-05-15T02:54:00"/>
        <d v="1974-09-15T19:48:00"/>
        <d v="1974-03-16T07:48:00"/>
        <d v="1974-07-27T02:54:00"/>
        <d v="1974-11-11T07:42:00"/>
        <d v="1974-03-02T07:42:00"/>
        <d v="1974-02-06T12:36:00"/>
        <d v="1974-10-11T14:54:00"/>
        <d v="1974-03-14T12:36:00"/>
        <d v="1974-10-26T12:36:00"/>
        <d v="1974-09-13T10:12:00"/>
        <d v="1974-02-06T17:24:00"/>
        <d v="1974-06-25T02:54:00"/>
        <d v="1974-01-29T12:30:00"/>
        <d v="1974-04-23T22:12:00"/>
        <d v="1974-12-06T02:54:00"/>
        <d v="1974-07-06T10:12:00"/>
        <d v="1974-07-03T07:48:00"/>
        <d v="1974-10-06T12:30:00"/>
        <d v="1974-11-26T17:24:00"/>
        <d v="1974-07-31T10:06:00"/>
        <d v="1974-06-14T17:18:00"/>
        <d v="1974-11-03T05:18:00"/>
        <d v="1974-03-08T10:06:00"/>
        <d v="1974-05-07T22:06:00"/>
        <d v="1974-07-18T10:06:00"/>
        <d v="1974-10-12T12:30:00"/>
        <d v="1974-09-17T17:24:00"/>
        <d v="1974-12-04T10:06:00"/>
        <d v="1974-01-18T14:54:00"/>
        <d v="1974-03-31T07:42:00"/>
        <d v="1974-03-15T07:48:00"/>
        <d v="1974-01-31T00:30:00"/>
        <d v="1974-05-16T02:54:00"/>
        <d v="1974-02-07T00:36:00"/>
        <d v="1974-10-03T10:06:00"/>
        <d v="1974-05-11T12:30:00"/>
        <d v="1974-03-12T15:00:00"/>
        <d v="1974-11-16T22:06:00"/>
        <d v="1974-05-04T19:42:00"/>
        <d v="1974-11-01T22:06:00"/>
        <d v="1974-02-09T17:24:00"/>
        <d v="1974-05-13T07:42:00"/>
        <d v="1974-12-25T14:54:00"/>
        <d v="1974-03-15T12:36:00"/>
        <d v="1974-10-15T10:12:00"/>
        <d v="1974-11-04T14:54:00"/>
        <d v="1974-04-23T12:36:00"/>
        <d v="1974-12-24T05:18:00"/>
        <d v="1974-08-25T05:18:00"/>
        <d v="1974-09-24T10:06:00"/>
        <d v="1974-09-28T12:30:00"/>
        <d v="1974-05-27T07:48:00"/>
        <d v="1974-11-22T05:24:00"/>
        <d v="1974-01-11T22:06:00"/>
        <d v="1974-03-16T05:24:00"/>
        <d v="1974-02-08T03:00:00"/>
        <d v="1974-11-19T19:42:00"/>
        <d v="1974-03-27T14:54:00"/>
        <d v="1974-03-14T00:36:00"/>
        <d v="1974-10-01T05:18:00"/>
        <d v="1974-10-01T14:54:00"/>
        <d v="1974-01-11T14:54:00"/>
        <d v="1974-10-30T22:06:00"/>
        <d v="1974-07-23T10:06:00"/>
        <d v="1974-04-26T07:48:00"/>
        <d v="1974-06-21T14:54:00"/>
        <d v="1974-02-10T15:00:00"/>
        <d v="1974-05-31T03:00:00"/>
        <d v="1974-12-22T19:42:00"/>
        <d v="1974-11-06T10:06:00"/>
        <d v="1974-06-08T05:18:00"/>
        <d v="1974-05-23T10:12:00"/>
        <d v="1974-09-10T15:00:00"/>
        <d v="1974-06-30T22:12:00"/>
        <d v="1974-12-06T14:54:00"/>
        <d v="1974-07-28T02:54:00"/>
        <d v="1974-04-26T19:48:00"/>
        <d v="1974-09-08T02:54:00"/>
        <d v="1974-10-01T17:18:00"/>
        <d v="1974-03-26T14:54:00"/>
        <d v="1974-10-08T02:54:00"/>
        <d v="1974-01-28T05:18:00"/>
        <d v="1974-02-26T22:06:00"/>
        <d v="1974-02-03T15:00:00"/>
        <d v="1974-04-19T05:24:00"/>
        <d v="1974-10-18T22:12:00"/>
        <d v="1974-04-30T22:06:00"/>
        <d v="1974-12-02T03:00:00"/>
        <d v="1974-11-18T12:30:00"/>
        <d v="1974-10-03T14:54:00"/>
        <d v="1974-01-19T14:54:00"/>
        <d v="1974-05-19T22:06:00"/>
        <d v="1974-03-05T00:30:00"/>
        <d v="1974-10-24T05:24:00"/>
        <d v="1974-09-05T19:42:00"/>
        <d v="1974-01-09T14:54:00"/>
        <d v="1974-07-02T05:24:00"/>
        <d v="1974-06-07T19:42:00"/>
        <d v="1974-05-27T00:36:00"/>
        <d v="1974-10-24T07:48:00"/>
        <d v="1974-10-22T19:48:00"/>
        <d v="1974-05-04T00:30:00"/>
        <d v="1974-08-04T05:24:00"/>
        <d v="1974-12-06T00:30:00"/>
        <d v="1974-07-16T07:42:00"/>
        <d v="1974-03-27T05:18:00"/>
        <d v="1974-12-02T14:54:00"/>
        <d v="1974-11-06T19:42:00"/>
        <d v="1974-07-01T00:36:00"/>
        <d v="1974-05-08T02:54:00"/>
        <d v="1974-02-24T02:54:00"/>
        <d v="1974-07-09T07:42:00"/>
        <d v="1974-10-04T14:54:00"/>
        <d v="1974-01-07T22:12:00"/>
        <d v="1974-06-23T10:06:00"/>
        <d v="1974-03-20T10:12:00"/>
        <d v="1974-12-30T05:24:00"/>
        <d v="1974-06-17T14:54:00"/>
        <d v="1974-12-11T17:18:00"/>
        <d v="1974-10-26T22:12:00"/>
        <d v="1974-09-24T14:54:00"/>
        <d v="1974-08-11T10:12:00"/>
        <d v="1974-01-23T17:18:00"/>
        <d v="1974-12-27T17:24:00"/>
        <d v="1974-05-08T17:18:00"/>
        <d v="1974-01-16T17:18:00"/>
        <d v="1974-12-13T14:54:00"/>
        <d v="1974-03-23T02:54:00"/>
        <d v="1974-06-12T02:54:00"/>
        <d v="1974-09-27T17:18:00"/>
        <d v="1974-09-12T12:36:00"/>
        <d v="1974-07-02T15:00:00"/>
        <d v="1974-08-15T12:30:00"/>
        <d v="1974-05-02T14:54:00"/>
        <d v="1974-04-27T14:54:00"/>
        <d v="1974-04-04T19:42:00"/>
        <d v="1974-04-27T05:24:00"/>
        <d v="1974-04-30T10:06:00"/>
        <d v="1974-03-27T12:30:00"/>
        <d v="1974-11-04T05:18:00"/>
        <d v="1974-12-16T05:18:00"/>
        <d v="1974-06-14T14:54:00"/>
        <d v="1974-05-24T12:36:00"/>
        <d v="1974-03-14T03:00:00"/>
        <d v="1974-09-26T02:54:00"/>
        <d v="1974-10-25T12:36:00"/>
        <d v="1974-12-06T12:30:00"/>
        <d v="1974-08-31T14:54:00"/>
        <d v="1974-04-02T10:06:00"/>
        <d v="1974-01-07T05:24:00"/>
        <d v="1974-01-12T12:30:00"/>
        <d v="1974-02-02T15:00:00"/>
        <d v="1974-08-11T15:00:00"/>
        <d v="1974-05-23T05:24:00"/>
        <d v="1974-06-09T00:30:00"/>
        <d v="1974-01-25T05:18:00"/>
        <d v="1974-05-22T00:36:00"/>
        <d v="1974-10-22T15:00:00"/>
        <d v="1974-05-11T00:30:00"/>
        <d v="1974-11-12T00:30:00"/>
        <d v="1974-11-05T00:30:00"/>
        <d v="1974-01-24T12:30:00"/>
        <d v="1974-11-13T07:42:00"/>
        <d v="1974-05-17T00:30:00"/>
        <d v="1974-12-13T19:42:00"/>
        <d v="1974-11-01T14:54:00"/>
        <d v="1974-07-18T14:54:00"/>
        <d v="1974-08-10T05:24:00"/>
        <d v="1974-05-15T22:06:00"/>
        <d v="1974-08-08T19:48:00"/>
        <d v="1974-12-31T12:36:00"/>
        <d v="1974-11-15T02:54:00"/>
        <d v="1974-07-05T00:36:00"/>
        <d v="1974-08-17T05:18:00"/>
        <d v="1974-05-05T07:42:00"/>
        <d v="1974-03-20T22:12:00"/>
        <d v="1974-07-01T10:12:00"/>
        <d v="1974-09-10T03:00:00"/>
        <d v="1974-02-06T15:00:00"/>
        <d v="1974-09-12T10:12:00"/>
        <d v="1974-06-05T05:18:00"/>
        <d v="1974-03-03T07:42:00"/>
        <d v="1974-07-30T00:30:00"/>
        <d v="1974-08-13T12:36:00"/>
        <d v="1974-08-29T12:30:00"/>
        <d v="1974-03-10T15:00:00"/>
        <d v="1974-03-07T10:06:00"/>
        <d v="1974-11-20T19:48:00"/>
        <d v="1974-07-09T22:06:00"/>
        <d v="1974-03-10T07:48:00"/>
        <d v="1974-06-15T02:54:00"/>
        <d v="1974-01-20T12:30:00"/>
        <d v="1974-02-07T12:36:00"/>
        <d v="1974-07-19T12:30:00"/>
        <d v="1974-07-29T14:54:00"/>
        <d v="1974-12-29T17:24:00"/>
        <d v="1974-10-14T02:54:00"/>
        <d v="1974-02-13T10:12:00"/>
        <d v="1974-03-11T22:12:00"/>
        <d v="1974-02-28T07:42:00"/>
        <d v="1974-06-01T17:24:00"/>
        <d v="1974-02-18T07:42:00"/>
        <d v="1974-03-20T00:36:00"/>
        <d v="1974-03-26T12:30:00"/>
        <d v="1974-01-08T14:54:00"/>
        <d v="1974-02-02T00:36:00"/>
        <d v="1974-07-21T02:54:00"/>
        <d v="1974-07-01T12:36:00"/>
        <d v="1974-01-20T10:06:00"/>
        <d v="1974-06-11T00:30:00"/>
        <d v="1974-06-04T12:30:00"/>
        <d v="1974-08-25T22:06:00"/>
        <d v="1974-01-08T10:06:00"/>
        <d v="1974-08-14T12:36:00"/>
        <d v="1974-01-17T12:30:00"/>
        <d v="1974-07-06T19:48:00"/>
        <d v="1974-05-11T14:54:00"/>
        <d v="1974-12-06T10:06:00"/>
        <d v="1974-02-08T15:00:00"/>
        <d v="1974-08-14T17:24:00"/>
        <d v="1974-06-04T05:18:00"/>
        <d v="1974-11-27T05:24:00"/>
        <d v="1974-04-19T00:36:00"/>
        <d v="1974-05-11T02:54:00"/>
        <d v="1974-01-30T12:30:00"/>
        <d v="1974-10-07T10:06:00"/>
        <d v="1974-09-14T17:24:00"/>
        <d v="1974-08-20T00:30:00"/>
        <d v="1974-05-16T19:42:00"/>
        <d v="1974-06-11T12:30:00"/>
        <d v="1974-05-02T17:18:00"/>
        <d v="1974-02-19T00:30:00"/>
        <d v="1974-08-27T00:30:00"/>
        <d v="1974-09-02T17:18:00"/>
        <d v="1974-10-30T14:54:00"/>
        <d v="1974-07-22T05:18:00"/>
        <d v="1975-01-03T19:48:00"/>
        <d v="1974-01-28T00:30:00"/>
        <d v="1974-01-17T14:54:00"/>
        <d v="1974-01-28T14:54:00"/>
        <d v="1974-08-26T19:42:00"/>
        <d v="1974-12-07T17:18:00"/>
        <d v="1974-12-04T02:54:00"/>
        <d v="1974-06-26T14:54:00"/>
        <d v="1974-09-22T00:30:00"/>
        <d v="1974-04-24T12:36:00"/>
        <d v="1974-03-16T17:24:00"/>
        <d v="1974-09-08T22:12:00"/>
        <d v="1974-01-21T17:18:00"/>
        <d v="1974-11-10T00:30:00"/>
        <d v="1974-08-09T19:48:00"/>
        <d v="1974-09-18T17:24:00"/>
        <d v="1974-11-24T05:24:00"/>
        <d v="1974-09-19T15:00:00"/>
        <d v="1974-11-24T07:48:00"/>
        <d v="1974-11-16T00:30:00"/>
        <d v="1974-04-27T17:18:00"/>
        <d v="1974-10-30T00:30:00"/>
        <d v="1974-10-02T07:42:00"/>
        <d v="1974-01-30T05:18:00"/>
        <d v="1974-06-14T22:06:00"/>
        <d v="1974-06-01T07:48:00"/>
        <d v="1974-08-29T19:42:00"/>
        <d v="1974-08-17T22:06:00"/>
        <d v="1974-09-19T17:24:00"/>
        <d v="1974-10-19T19:48:00"/>
        <d v="1974-10-19T17:24:00"/>
        <d v="1974-07-26T17:18:00"/>
        <d v="1974-07-25T19:42:00"/>
        <d v="1974-03-23T17:18:00"/>
        <d v="1974-11-23T10:12:00"/>
        <d v="1974-01-28T22:06:00"/>
        <d v="1974-02-25T10:06:00"/>
        <d v="1974-05-14T17:18:00"/>
        <d v="1974-06-21T07:42:00"/>
        <d v="1974-04-05T07:42:00"/>
        <d v="1974-10-01T07:42:00"/>
        <d v="1974-01-22T02:54:00"/>
        <d v="1974-10-28T02:54:00"/>
        <d v="1974-08-18T14:54:00"/>
        <d v="1974-03-01T12:30:00"/>
        <d v="1974-12-21T00:30:00"/>
        <d v="1974-04-10T22:06:00"/>
        <d v="1974-08-27T05:18:00"/>
        <d v="1974-12-24T17:18:00"/>
        <d v="1974-12-30T10:12:00"/>
        <d v="1974-03-13T22:12:00"/>
        <d v="1974-05-25T00:36:00"/>
        <d v="1974-11-15T00:30:00"/>
        <d v="1974-01-18T22:06:00"/>
        <d v="1974-07-26T00:30:00"/>
        <d v="1974-10-28T17:18:00"/>
        <d v="1974-09-20T17:24:00"/>
        <d v="1974-11-26T15:00:00"/>
        <d v="1974-05-20T17:18:00"/>
        <d v="1974-03-11T12:36:00"/>
        <d v="1974-04-11T14:54:00"/>
        <d v="1974-12-14T14:54:00"/>
        <d v="1974-10-12T14:54:00"/>
        <d v="1974-10-16T17:24:00"/>
        <d v="1974-08-03T07:48:00"/>
        <d v="1974-07-13T12:30:00"/>
        <d v="1974-10-29T02:54:00"/>
        <d v="1974-03-11T05:24:00"/>
        <d v="1974-02-15T00:30:00"/>
        <d v="1974-05-10T19:42:00"/>
        <d v="1974-03-26T02:54:00"/>
        <d v="1974-08-26T14:54:00"/>
        <d v="1974-11-26T05:24:00"/>
        <d v="1974-09-27T19:42:00"/>
        <d v="1974-11-08T14:54:00"/>
        <d v="1974-08-31T12:30:00"/>
        <d v="1974-01-22T19:42:00"/>
        <d v="1974-05-09T14:54:00"/>
        <d v="1974-03-01T19:42:00"/>
        <d v="1974-05-07T07:42:00"/>
        <d v="1974-03-29T22:06:00"/>
        <d v="1974-10-25T07:48:00"/>
        <d v="1974-10-29T12:30:00"/>
        <d v="1974-08-14T05:24:00"/>
        <d v="1974-06-25T12:30:00"/>
        <d v="1974-06-27T22:12:00"/>
        <d v="1974-01-30T17:18:00"/>
        <d v="1974-08-22T14:54:00"/>
        <d v="1974-04-24T00:36:00"/>
        <d v="1974-07-16T19:42:00"/>
        <d v="1974-10-04T00:30:00"/>
        <d v="1974-09-21T17:18:00"/>
        <d v="1974-09-16T10:12:00"/>
        <d v="1974-08-17T00:30:00"/>
        <d v="1974-07-07T15:00:00"/>
        <d v="1974-09-08T15:00:00"/>
        <d v="1974-06-28T00:36:00"/>
        <d v="1974-04-02T00:30:00"/>
        <d v="1974-09-17T00:36:00"/>
        <d v="1974-01-15T05:18:00"/>
        <d v="1974-01-02T19:48:00"/>
        <d v="1974-07-31T22:06:00"/>
        <d v="1974-01-15T22:06:00"/>
        <d v="1974-03-06T14:54:00"/>
        <d v="1974-01-25T10:06:00"/>
        <d v="1974-01-06T22:12:00"/>
        <d v="1974-06-24T02:54:00"/>
        <d v="1974-01-19T02:54:00"/>
        <d v="1974-08-15T17:18:00"/>
        <d v="1974-01-22T14:54:00"/>
        <d v="1974-04-14T02:54:00"/>
        <d v="1974-07-04T12:36:00"/>
        <d v="1974-02-19T14:54:00"/>
        <d v="1974-06-25T17:18:00"/>
        <d v="1974-10-23T17:24:00"/>
        <d v="1974-12-16T22:06:00"/>
        <d v="1974-10-03T22:06:00"/>
        <d v="1974-04-17T05:24:00"/>
        <d v="1974-03-27T19:42:00"/>
        <d v="1974-02-19T17:18:00"/>
        <d v="1974-09-24T02:54:00"/>
        <d v="1974-07-30T10:06:00"/>
        <d v="1974-05-13T05:18:00"/>
        <d v="1974-06-06T10:06:00"/>
        <d v="1974-11-28T05:24:00"/>
        <d v="1974-11-29T15:00:00"/>
        <d v="1974-09-23T22:06:00"/>
        <d v="1974-08-22T10:06:00"/>
        <d v="1974-06-27T00:36:00"/>
        <d v="1974-12-14T02:54:00"/>
        <d v="1974-02-28T22:06:00"/>
        <d v="1974-07-25T02:54:00"/>
        <d v="1974-08-28T10:06:00"/>
        <d v="1974-01-31T07:42:00"/>
        <d v="1974-02-12T10:12:00"/>
        <d v="1974-05-25T15:00:00"/>
        <d v="1974-08-14T15:00:00"/>
        <d v="1974-02-20T12:30:00"/>
        <d v="1974-06-10T17:18:00"/>
        <d v="1974-01-05T10:12:00"/>
        <d v="1974-09-11T15:00:00"/>
        <d v="1974-05-08T05:18:00"/>
        <d v="1974-10-19T05:24:00"/>
        <d v="1974-09-07T14:54:00"/>
        <d v="1974-06-18T00:30:00"/>
        <d v="1974-11-25T12:36:00"/>
        <d v="1974-03-30T02:54:00"/>
        <d v="1974-08-11T00:36:00"/>
        <d v="1975-01-01T03:00:00"/>
        <d v="1974-11-28T07:48:00"/>
        <d v="1974-10-20T07:48:00"/>
        <d v="1974-03-21T10:12:00"/>
        <d v="1974-12-24T10:06:00"/>
        <d v="1974-08-21T19:42:00"/>
        <d v="1974-04-06T14:54:00"/>
        <d v="1974-10-16T19:48:00"/>
        <d v="1974-08-08T22:12:00"/>
        <d v="1974-04-07T22:06:00"/>
        <d v="1974-08-22T19:42:00"/>
        <d v="1974-10-16T22:12:00"/>
        <d v="1974-12-08T00:30:00"/>
        <d v="1974-11-27T17:24:00"/>
        <d v="1974-04-16T19:48:00"/>
        <d v="1974-09-19T12:36:00"/>
        <d v="1974-06-01T22:12:00"/>
        <d v="1974-01-17T22:06:00"/>
        <d v="1974-02-04T15:00:00"/>
        <d v="1974-02-18T17:18:00"/>
        <d v="1974-07-18T12:30:00"/>
        <d v="1974-10-20T10:12:00"/>
        <d v="1974-03-23T12:30:00"/>
        <d v="1974-08-01T00:30:00"/>
        <d v="1974-02-10T22:12:00"/>
        <d v="1974-07-08T10:12:00"/>
        <d v="1974-01-04T12:36:00"/>
        <d v="1974-11-16T02:54:00"/>
        <d v="1974-06-03T14:54:00"/>
        <d v="1974-06-15T17:18:00"/>
        <d v="1974-08-13T00:36:00"/>
        <d v="1974-11-05T17:18:00"/>
        <d v="1974-11-12T22:06:00"/>
        <d v="1974-03-17T03:00:00"/>
        <d v="1974-11-02T14:54:00"/>
        <d v="1974-11-09T07:42:00"/>
        <d v="1974-10-20T19:48:00"/>
        <d v="1974-01-17T05:18:00"/>
        <d v="1974-03-18T22:12:00"/>
        <d v="1974-03-10T17:24:00"/>
        <d v="1974-02-26T02:54:00"/>
        <d v="1974-02-23T12:30:00"/>
        <d v="1974-12-27T19:48:00"/>
        <d v="1974-02-23T07:42:00"/>
        <d v="1974-03-26T10:06:00"/>
        <d v="1974-03-18T12:36:00"/>
        <d v="1974-10-31T05:18:00"/>
        <d v="1974-04-26T12:36:00"/>
        <d v="1974-11-30T15:00:00"/>
        <d v="1974-01-08T22:06:00"/>
        <d v="1974-02-27T17:18:00"/>
        <d v="1974-07-19T07:42:00"/>
        <d v="1974-08-31T05:18:00"/>
        <d v="1974-06-21T19:42:00"/>
        <d v="1974-02-19T05:18:00"/>
        <d v="1974-11-17T07:42:00"/>
        <d v="1974-05-19T00:30:00"/>
        <d v="1974-01-18T02:54:00"/>
        <d v="1974-05-27T19:48:00"/>
        <d v="1974-01-12T05:18:00"/>
        <d v="1974-02-07T17:24:00"/>
        <d v="1974-12-11T12:30:00"/>
        <d v="1974-08-28T19:42:00"/>
        <d v="1975-01-02T15:00:00"/>
        <d v="1974-09-18T22:12:00"/>
        <d v="1974-12-15T19:42:00"/>
        <d v="1974-07-04T15:00:00"/>
        <d v="1974-01-15T10:06:00"/>
        <d v="1974-06-08T10:06:00"/>
        <d v="1974-01-16T14:54:00"/>
        <d v="1974-01-24T17:18:00"/>
        <d v="1974-07-22T07:42:00"/>
        <d v="1974-09-23T17:18:00"/>
        <d v="1974-06-03T02:54:00"/>
        <d v="1974-12-13T02:54:00"/>
        <d v="1974-03-12T03:00:00"/>
        <d v="1974-01-15T00:30:00"/>
        <d v="1974-07-19T02:54:00"/>
        <d v="1974-05-09T17:18:00"/>
        <d v="1974-10-23T12:36:00"/>
        <d v="1974-02-25T22:06:00"/>
        <d v="1974-12-30T15:00:00"/>
        <d v="1974-05-18T12:30:00"/>
        <d v="1974-06-22T05:18:00"/>
        <d v="1974-11-08T22:06:00"/>
        <d v="1974-09-26T22:06:00"/>
        <d v="1974-02-18T02:54:00"/>
        <d v="1974-07-04T17:24:00"/>
        <d v="1974-12-20T19:42:00"/>
        <d v="1974-04-08T19:42:00"/>
        <d v="1974-12-08T19:42:00"/>
        <d v="1974-05-12T02:54:00"/>
        <d v="1974-07-01T05:24:00"/>
        <d v="1974-02-24T07:42:00"/>
        <d v="1974-10-12T07:42:00"/>
        <d v="1974-11-29T10:12:00"/>
        <d v="1974-03-19T05:24:00"/>
        <d v="1974-12-26T00:30:00"/>
        <d v="1974-10-10T02:54:00"/>
        <d v="1974-04-03T07:42:00"/>
        <d v="1974-05-26T19:48:00"/>
        <d v="1974-09-25T22:06:00"/>
        <d v="1974-07-08T03:00:00"/>
        <d v="1974-06-13T22:06:00"/>
        <d v="1974-06-03T00:30:00"/>
        <d v="1974-04-30T07:42:00"/>
        <d v="1974-08-13T07:48:00"/>
        <d v="1974-07-23T00:30:00"/>
        <d v="1974-12-15T22:06:00"/>
        <d v="1974-08-04T12:36:00"/>
        <d v="1974-11-05T10:06:00"/>
        <d v="1974-02-19T02:54:00"/>
        <d v="1974-04-17T12:36:00"/>
        <d v="1974-02-07T07:48:00"/>
        <d v="1974-02-08T22:12:00"/>
        <d v="1974-03-24T12:30:00"/>
        <d v="1974-02-23T02:54:00"/>
        <d v="1974-06-22T22:06:00"/>
        <d v="1974-06-30T15:00:00"/>
        <d v="1974-07-13T07:42:00"/>
        <d v="1974-12-06T05:18:00"/>
        <d v="1974-09-13T03:00:00"/>
        <d v="1974-08-30T05:18:00"/>
        <d v="1974-08-06T22:12:00"/>
        <d v="1974-04-16T22:12:00"/>
        <d v="1974-08-07T03:00:00"/>
        <d v="1974-03-19T15:00:00"/>
        <d v="1974-08-11T22:12:00"/>
        <d v="1974-02-11T05:24:00"/>
        <d v="1974-05-22T07:48:00"/>
        <d v="1974-02-12T19:48:00"/>
        <d v="1974-07-15T14:54:00"/>
        <d v="1974-09-30T05:18:00"/>
        <d v="1974-12-31T05:24:00"/>
        <d v="1974-02-19T07:42:00"/>
        <d v="1974-05-18T14:54:00"/>
        <d v="1974-06-11T07:42:00"/>
        <d v="1974-02-04T07:48:00"/>
        <d v="1974-08-04T19:48:00"/>
        <d v="1974-02-09T05:24:00"/>
        <d v="1974-10-23T22:12:00"/>
        <d v="1974-09-08T17:24:00"/>
        <d v="1974-08-01T19:42:00"/>
        <d v="1974-10-19T12:36:00"/>
        <d v="1974-02-26T10:06:00"/>
        <d v="1974-12-17T05:18:00"/>
        <d v="1974-09-25T07:42:00"/>
        <d v="1974-06-22T19:42:00"/>
        <d v="1974-11-01T19:42:00"/>
        <d v="1974-08-07T07:48:00"/>
        <d v="1974-06-25T00:30:00"/>
        <d v="1974-11-19T22:06:00"/>
        <d v="1974-04-20T17:24:00"/>
        <d v="1974-05-29T00:36:00"/>
        <d v="1974-01-05T03:00:00"/>
        <d v="1974-08-26T02:54:00"/>
      </sharedItems>
      <fieldGroup par="21" base="18">
        <rangePr groupBy="months" startDate="1974-01-01T19:48:00" endDate="1975-01-03T19:48:00"/>
        <groupItems count="14">
          <s v="&lt;1/1/197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3/1975"/>
        </groupItems>
      </fieldGroup>
    </cacheField>
    <cacheField name="Date Ended Coversion" numFmtId="14">
      <sharedItems containsSemiMixedTypes="0" containsNonDate="0" containsDate="1" containsString="0" minDate="1974-01-01T19:48:00" maxDate="1975-01-05T05:24:00"/>
    </cacheField>
    <cacheField name="Quarters" numFmtId="0" databaseField="0">
      <fieldGroup base="18">
        <rangePr groupBy="quarters" startDate="1974-01-01T19:48:00" endDate="1975-01-03T19:48:00"/>
        <groupItems count="6">
          <s v="&lt;1/1/1974"/>
          <s v="Qtr1"/>
          <s v="Qtr2"/>
          <s v="Qtr3"/>
          <s v="Qtr4"/>
          <s v="&gt;1/3/1975"/>
        </groupItems>
      </fieldGroup>
    </cacheField>
    <cacheField name="Years" numFmtId="0" databaseField="0">
      <fieldGroup base="18">
        <rangePr groupBy="years" startDate="1974-01-01T19:48:00" endDate="1975-01-03T19:48:00"/>
        <groupItems count="4">
          <s v="&lt;1/1/1974"/>
          <s v="1974"/>
          <s v="1975"/>
          <s v="&gt;1/3/197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cabaza" refreshedDate="44649.051546875002" createdVersion="7" refreshedVersion="7" minRefreshableVersion="3" recordCount="12" xr:uid="{3DB53B2F-7441-443F-A84F-B933573CE0C5}">
  <cacheSource type="worksheet">
    <worksheetSource ref="A1:H13" sheet="Bonus1"/>
  </cacheSource>
  <cacheFields count="8">
    <cacheField name="Goal" numFmtId="0">
      <sharedItems count="12">
        <s v="Less than 1000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Greater than or equal ot 50000 "/>
      </sharedItems>
    </cacheField>
    <cacheField name="Number Successful " numFmtId="0">
      <sharedItems containsSemiMixedTypes="0" containsString="0" containsNumber="1" containsInteger="1" minValue="0" maxValue="211"/>
    </cacheField>
    <cacheField name="Number Failed " numFmtId="0">
      <sharedItems containsSemiMixedTypes="0" containsString="0" containsNumber="1" containsInteger="1" minValue="4" maxValue="101"/>
    </cacheField>
    <cacheField name="Number Canceled " numFmtId="0">
      <sharedItems containsSemiMixedTypes="0" containsString="0" containsNumber="1" containsInteger="1" minValue="0" maxValue="19"/>
    </cacheField>
    <cacheField name="Total Projects " numFmtId="0">
      <sharedItems containsSemiMixedTypes="0" containsString="0" containsNumber="1" containsInteger="1" minValue="8" maxValue="285"/>
    </cacheField>
    <cacheField name="Percentage Successful " numFmtId="10">
      <sharedItems containsSemiMixedTypes="0" containsString="0" containsNumber="1" minValue="0" maxValue="0.9634703196347032" count="9">
        <n v="0"/>
        <n v="0.21383647798742139"/>
        <n v="0.65437788018433185"/>
        <n v="0.9634703196347032"/>
        <n v="0.1"/>
        <n v="9.0909090909090912E-2"/>
        <n v="0.4"/>
        <n v="0.15384615384615385"/>
        <n v="0.59298245614035083"/>
      </sharedItems>
    </cacheField>
    <cacheField name="Percentage Failed " numFmtId="10">
      <sharedItems containsSemiMixedTypes="0" containsString="0" containsNumber="1" minValue="3.1963470319634701E-2" maxValue="0.9375"/>
    </cacheField>
    <cacheField name="Percentage Canceled " numFmtId="10">
      <sharedItems containsSemiMixedTypes="0" containsString="0" containsNumber="1" minValue="0" maxValue="0.307692307692307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40"/>
    <n v="92.15189873417720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31.4787822878229"/>
    <n v="100.01614035087719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58.976190476190467"/>
    <n v="103.20833333333333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69.276315789473685"/>
    <n v="99.339622641509436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73.61842105263159"/>
    <n v="75.833333333333329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20.961538461538463"/>
    <n v="60.555555555555557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27.57777777777778"/>
    <n v="64.93832599118943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19.932788374205266"/>
    <n v="30.997175141242938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51.741935483870968"/>
    <n v="72.909090909090907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66.11538461538464"/>
    <n v="62.9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48.095238095238095"/>
    <n v="112.22222222222223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89.349206349206341"/>
    <n v="102.34545454545454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45.11904761904765"/>
    <n v="105.05102040816327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66.769503546099301"/>
    <n v="94.144999999999996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47.307881773399011"/>
    <n v="84.98672566371681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49.47058823529414"/>
    <n v="110.41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59.39125295508273"/>
    <n v="107.96236989591674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66.912087912087912"/>
    <n v="45.103703703703701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48.529600000000002"/>
    <n v="45.001483679525222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12.24279210925646"/>
    <n v="105.9713467048710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40.992553191489364"/>
    <n v="69.05555555555555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28.07106598984771"/>
    <n v="85.044943820224717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32.04444444444448"/>
    <n v="105.22535211267606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12.83225108225108"/>
    <n v="39.003741114852225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16.43636363636364"/>
    <n v="73.030674846625772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48.199069767441863"/>
    <n v="35.009459459459457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79.95"/>
    <n v="106.6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05.22553516819573"/>
    <n v="61.997747747747745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28.89978213507629"/>
    <n v="94.000622665006233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60.61111111111111"/>
    <n v="112.05426356589147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10"/>
    <n v="48.008849557522126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86.807920792079202"/>
    <n v="38.004334633723452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77.82071713147411"/>
    <n v="35.000184535892231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50.80645161290323"/>
    <n v="85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50.30119521912351"/>
    <n v="95.993893129770996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57.28571428571431"/>
    <n v="68.8125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39.98765432098764"/>
    <n v="105.971962616822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25.32258064516128"/>
    <n v="75.261194029850742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50.777777777777779"/>
    <n v="57.12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69.06818181818181"/>
    <n v="75.141414141414145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12.92857142857144"/>
    <n v="107.42342342342343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43.94444444444446"/>
    <n v="35.995495495495497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85.9390243902439"/>
    <n v="26.998873148744366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58.8125"/>
    <n v="107.56122448979592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47.684210526315788"/>
    <n v="94.375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14.78378378378378"/>
    <n v="46.163043478260867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75.26666666666665"/>
    <n v="47.845637583892618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86.97297297297297"/>
    <n v="53.007815713698065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89.625"/>
    <n v="45.059405940594061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2"/>
    <n v="2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91.867805186590772"/>
    <n v="99.006816632583508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34.152777777777779"/>
    <n v="32.786666666666669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40.40909090909091"/>
    <n v="59.119617224880386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89.86666666666666"/>
    <n v="44.93333333333333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77.96969696969697"/>
    <n v="89.66412213740457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43.66249999999999"/>
    <n v="70.079268292682926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15.27586206896552"/>
    <n v="31.059701492537314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27.11111111111114"/>
    <n v="29.061611374407583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75.07142857142861"/>
    <n v="30.0859375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44.37048832271762"/>
    <n v="84.998125000000002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92.74598393574297"/>
    <n v="82.001775410563695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22.6"/>
    <n v="58.040160642570278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11.851063829787234"/>
    <n v="111.4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97.642857142857139"/>
    <n v="71.94736842105263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36.14754098360655"/>
    <n v="61.038135593220339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45.068965517241381"/>
    <n v="108.91666666666667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62.38567493112947"/>
    <n v="29.001722017220171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54.52631578947367"/>
    <n v="58.975609756097562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24.063291139240505"/>
    <n v="111.82352941176471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23.74140625000001"/>
    <n v="63.99555555555555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08.06666666666666"/>
    <n v="85.315789473684205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70.33333333333326"/>
    <n v="74.481481481481481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60.92857142857144"/>
    <n v="105.14772727272727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22.46153846153847"/>
    <n v="56.188235294117646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50.57731958762886"/>
    <n v="85.917647058823533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78.106590724165997"/>
    <n v="57.00296912114014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46.94736842105263"/>
    <n v="79.642857142857139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00.8"/>
    <n v="41.01818181818181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69.598615916955026"/>
    <n v="48.004773269689736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37.4545454545455"/>
    <n v="55.212598425196852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25.33928571428569"/>
    <n v="92.10948905109489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97.3000000000002"/>
    <n v="83.183333333333337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37.590225563909776"/>
    <n v="39.99600000000000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32.36942675159236"/>
    <n v="111.1336898395722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31.22448979591837"/>
    <n v="90.563380281690144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67.63513513513513"/>
    <n v="61.108374384236456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61.984886649874063"/>
    <n v="83.022941970310384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60.75"/>
    <n v="110.76106194690266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52.58823529411765"/>
    <n v="89.458333333333329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78.615384615384613"/>
    <n v="57.849056603773583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48.404406999351913"/>
    <n v="109.99705449189985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58.875"/>
    <n v="103.96586345381526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60.548713235294116"/>
    <n v="107.99508196721311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03.68965517241378"/>
    <n v="48.927777777777777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12.99999999999999"/>
    <n v="37.666666666666664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17.37876614060258"/>
    <n v="64.999141999141997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26.69230769230762"/>
    <n v="106.61061946902655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33.692229038854805"/>
    <n v="27.009016393442622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96.7236842105263"/>
    <n v="91.16463414634147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1"/>
    <n v="1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21.4444444444445"/>
    <n v="56.054878048780488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81.67567567567568"/>
    <n v="31.017857142857142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24.610000000000003"/>
    <n v="66.513513513513516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43.14010067114094"/>
    <n v="89.005216484089729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44.54411764705884"/>
    <n v="103.4631578947368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59.12820512820514"/>
    <n v="95.278911564625844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86.48571428571427"/>
    <n v="75.895348837209298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95.26666666666665"/>
    <n v="107.57831325301204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59.21153846153846"/>
    <n v="51.31666666666667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14.962780898876405"/>
    <n v="71.98310810810811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19.95602605863192"/>
    <n v="108.95414201183432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68.82978723404256"/>
    <n v="35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76.87878787878788"/>
    <n v="94.938931297709928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27.15789473684208"/>
    <n v="109.65079365079364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87.211757648470297"/>
    <n v="44.001815980629537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88"/>
    <n v="86.794520547945211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73.9387755102041"/>
    <n v="30.992727272727272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17.61111111111111"/>
    <n v="94.791044776119406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14.96"/>
    <n v="69.79220779220779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49.49667110519306"/>
    <n v="63.003367003367003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19.33995584988963"/>
    <n v="110.0343300110742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64.367690058479525"/>
    <n v="25.997933274284026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18.622397298818232"/>
    <n v="49.98791540785498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67.76923076923077"/>
    <n v="101.72340425531915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59.90566037735849"/>
    <n v="47.083333333333336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38.633185349611544"/>
    <n v="89.944444444444443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51.42151162790698"/>
    <n v="78.96875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60.334277620396605"/>
    <n v="80.067669172932327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3"/>
    <n v="86.47272727272726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55.46875"/>
    <n v="28.001876172607879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00.85974499089254"/>
    <n v="67.996725337699544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16.18181818181819"/>
    <n v="43.078651685393261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10.77777777777777"/>
    <n v="87.95597484276729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89.73668341708543"/>
    <n v="94.987234042553197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71.27272727272728"/>
    <n v="46.905982905982903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2"/>
    <n v="46.913793103448278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61.77777777777777"/>
    <n v="94.24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96"/>
    <n v="80.139130434782615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20.896851248642779"/>
    <n v="59.036809815950917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23.16363636363636"/>
    <n v="65.989247311827953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01.59097978227061"/>
    <n v="60.992530345471522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30.03999999999996"/>
    <n v="98.307692307692307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35.59259259259261"/>
    <n v="104.6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29.1"/>
    <n v="86.066666666666663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36.512"/>
    <n v="76.989583333333329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17.25"/>
    <n v="29.764705882352942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12.49397590361446"/>
    <n v="46.91959798994975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21.02150537634408"/>
    <n v="105.18691588785046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19.87096774193549"/>
    <n v="69.90769230769230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1"/>
    <n v="1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64.166909620991248"/>
    <n v="60.011588275391958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23.06746987951806"/>
    <n v="52.006220379146917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92.984160506863773"/>
    <n v="31.000176025347649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58.756567425569173"/>
    <n v="95.04249291784702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65.022222222222226"/>
    <n v="75.968174204355108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73.939560439560438"/>
    <n v="71.013192612137203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52.666666666666664"/>
    <n v="73.733333333333334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20.95238095238096"/>
    <n v="113.17073170731707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00.01150627615063"/>
    <n v="105.00933552992861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62.3125"/>
    <n v="79.176829268292678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78.181818181818187"/>
    <n v="57.333333333333336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49.73770491803279"/>
    <n v="58.178343949044589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53.25714285714284"/>
    <n v="36.032520325203251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00.16943521594683"/>
    <n v="107.99068767908309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21.99004424778761"/>
    <n v="44.005985634477256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37.13265306122449"/>
    <n v="55.077868852459019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15.53846153846149"/>
    <n v="7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31.30913348946136"/>
    <n v="41.996858638743454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24.08154506437768"/>
    <n v="77.988161010260455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6"/>
    <n v="82.507462686567166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10.63265306122449"/>
    <n v="104.2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82.875"/>
    <n v="25.5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63.01447776628748"/>
    <n v="100.98334401024984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94.66666666666674"/>
    <n v="111.83333333333333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26.191501103752756"/>
    <n v="41.99911504424778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74.834782608695647"/>
    <n v="110.05115089514067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16.47680412371136"/>
    <n v="58.9970792259948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96.208333333333329"/>
    <n v="32.985714285714288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57.71910112359546"/>
    <n v="45.005654509471306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08.45714285714286"/>
    <n v="81.98196487897485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61.802325581395344"/>
    <n v="39.080882352941174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22.32472324723244"/>
    <n v="58.996383363471971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69.117647058823522"/>
    <n v="40.988372093023258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93.05555555555554"/>
    <n v="31.029411764705884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71.8"/>
    <n v="37.789473684210527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31.934684684684683"/>
    <n v="32.006772009029348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29.87375415282392"/>
    <n v="95.966712898751737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32.012195121951223"/>
    <n v="75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23.525352848928385"/>
    <n v="102.0498866213152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68.594594594594597"/>
    <n v="105.75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37.952380952380956"/>
    <n v="37.069767441860463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19.992957746478872"/>
    <n v="35.049382716049379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45.636363636363633"/>
    <n v="46.338461538461537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22.7605633802817"/>
    <n v="69.174603174603178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61.75316455696202"/>
    <n v="109.07824427480917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63.146341463414636"/>
    <n v="51.78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98.20475319926874"/>
    <n v="82.010055304172951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4"/>
    <n v="35.958333333333336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53.777777777777779"/>
    <n v="74.461538461538467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2"/>
    <n v="2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81.19047619047615"/>
    <n v="91.114649681528661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78.831325301204828"/>
    <n v="79.792682926829272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34.40792216817235"/>
    <n v="42.999777678968428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19999999999999"/>
    <n v="63.225000000000001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31.84615384615387"/>
    <n v="70.174999999999997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38.844444444444441"/>
    <n v="61.333333333333336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25.7"/>
    <n v="99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01.12239715591672"/>
    <n v="96.984900146127615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21.188688946015425"/>
    <n v="51.004950495049506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67.425531914893625"/>
    <n v="28.044247787610619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94.923371647509583"/>
    <n v="60.984615384615381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51.85185185185185"/>
    <n v="73.214285714285708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95.16382252559728"/>
    <n v="39.997435299603637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23.1428571428571"/>
    <n v="86.812121212121212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8"/>
    <n v="42.125874125874127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55.07066557107643"/>
    <n v="103.97851239669421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44.753477588871718"/>
    <n v="62.003211991434689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15.94736842105263"/>
    <n v="31.005037783375315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32.12709832134288"/>
    <n v="89.991552956465242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9"/>
    <n v="39.235294117647058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98.625514403292186"/>
    <n v="54.99311610830656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37.97916666666669"/>
    <n v="47.992753623188406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93.81099656357388"/>
    <n v="87.966702470461868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03.63930885529157"/>
    <n v="51.999165275459099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60.1740412979351"/>
    <n v="29.999659863945578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66.63333333333333"/>
    <n v="98.205357142857139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68.72085385878489"/>
    <n v="108.96182396606575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19.90717911530093"/>
    <n v="66.998379254457049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93.68925233644859"/>
    <n v="64.99333594668758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20.16666666666669"/>
    <n v="99.841584158415841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76.708333333333329"/>
    <n v="82.432835820895519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71.26470588235293"/>
    <n v="63.29347826086956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57.89473684210526"/>
    <n v="96.77419354838710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09.08"/>
    <n v="54.906040268456373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41.732558139534881"/>
    <n v="39.010869565217391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10.944303797468354"/>
    <n v="75.8421052631578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59.3763440860215"/>
    <n v="45.051671732522799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22.41666666666669"/>
    <n v="104.51546391752578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97.71875"/>
    <n v="76.268292682926827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18.78911564625849"/>
    <n v="69.015695067264573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01.91632047477745"/>
    <n v="101.97684085510689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27.72619047619047"/>
    <n v="42.91599999999999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45.21739130434781"/>
    <n v="43.025210084033617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69.71428571428578"/>
    <n v="75.245283018867923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09.34482758620686"/>
    <n v="69.02336448598130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25.5333333333333"/>
    <n v="65.986486486486484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32.61616161616166"/>
    <n v="98.013800424628457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11.33870967741933"/>
    <n v="60.105504587155963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73.32520325203251"/>
    <n v="26.000773395204948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3"/>
    <n v="3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54.084507042253513"/>
    <n v="38.019801980198018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26.29999999999995"/>
    <n v="106.15254237288136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89.021399176954731"/>
    <n v="81.019475655430711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84.89130434782609"/>
    <n v="96.64772727272726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20.16770186335404"/>
    <n v="57.003535651149086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23.390243902439025"/>
    <n v="63.93333333333333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46"/>
    <n v="90.456521739130437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68.48"/>
    <n v="72.172043010752688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97.5"/>
    <n v="77.9347826086956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57.69841269841268"/>
    <n v="38.065134099616856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31.201660735468568"/>
    <n v="57.936123348017624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13.41176470588238"/>
    <n v="49.79439252336448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70.89655172413791"/>
    <n v="54.050251256281406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62.66447368421052"/>
    <n v="30.002721335268504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23.08163265306122"/>
    <n v="70.127906976744185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76.766756032171585"/>
    <n v="26.996228786926462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33.62012987012989"/>
    <n v="51.990606936416185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80.53333333333333"/>
    <n v="56.416666666666664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52.62857142857143"/>
    <n v="101.63218390804597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27.176538240368025"/>
    <n v="25.005291005291006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"/>
    <n v="32.016393442622949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04.0097847358121"/>
    <n v="82.021647307286173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37.23076923076923"/>
    <n v="37.957446808510639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32.208333333333336"/>
    <n v="51.533333333333331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41.51282051282053"/>
    <n v="81.19827586206896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96.8"/>
    <n v="40.030075187969928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66.4285714285716"/>
    <n v="89.939759036144579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25.88888888888891"/>
    <n v="96.692307692307693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70.70000000000002"/>
    <n v="25.01098901098901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81.44000000000005"/>
    <n v="36.98727735368957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91.520972644376897"/>
    <n v="73.012609117361791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08.04761904761904"/>
    <n v="68.240601503759393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18.728395061728396"/>
    <n v="52.31034482758620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83.193877551020407"/>
    <n v="61.765151515151516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06.33333333333337"/>
    <n v="25.027559055118111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17.446030330062445"/>
    <n v="106.28804347826087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09.73015873015873"/>
    <n v="75.07386363636364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97.785714285714292"/>
    <n v="39.970802919708028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84.25"/>
    <n v="39.982195845697326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54.402135231316727"/>
    <n v="101.01541850220265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56.61111111111109"/>
    <n v="76.813084112149539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78"/>
    <n v="71.7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16.384615384615383"/>
    <n v="33.2812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39.6666666666667"/>
    <n v="43.92349726775956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35.650077760497666"/>
    <n v="36.004712041884815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54.950819672131146"/>
    <n v="88.21052631578948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94.236111111111114"/>
    <n v="65.240384615384613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43.91428571428571"/>
    <n v="69.958333333333329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51.421052631578945"/>
    <n v="39.877551020408163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5"/>
    <n v="5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44.6666666666667"/>
    <n v="41.023728813559323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31.844940867279899"/>
    <n v="98.914285714285711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82.617647058823536"/>
    <n v="87.78125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46.14285714285722"/>
    <n v="80.767605633802816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86.21428571428572"/>
    <n v="94.28235294117647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1"/>
    <n v="73.428571428571431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32.13677811550153"/>
    <n v="65.968133535660087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74.077834179357026"/>
    <n v="109.0410958904109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75.292682926829272"/>
    <n v="41.16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20.333333333333332"/>
    <n v="99.125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03.36507936507937"/>
    <n v="105.88429752066116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10.2284263959391"/>
    <n v="48.996525921966864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95.31818181818181"/>
    <n v="39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94.71428571428572"/>
    <n v="31.022556390977442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33.89473684210526"/>
    <n v="103.8709677419354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66.677083333333329"/>
    <n v="59.268518518518519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19.227272727272727"/>
    <n v="42.3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15.842105263157894"/>
    <n v="53.117647058823529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38.702380952380956"/>
    <n v="50.79687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7"/>
    <n v="101.15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94.144366197183089"/>
    <n v="65.000810372771468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66.56234096692114"/>
    <n v="37.998645510835914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24.134831460674157"/>
    <n v="82.615384615384613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64.05633802816902"/>
    <n v="37.941368078175898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90.723076923076931"/>
    <n v="80.78082191780822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46.194444444444443"/>
    <n v="25.984375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38.53846153846154"/>
    <n v="30.363636363636363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33.56231003039514"/>
    <n v="54.004916018025398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22.896588486140725"/>
    <n v="101.78672985781991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84.95548961424333"/>
    <n v="45.003610108303249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43.72727272727275"/>
    <n v="77.068421052631578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99.9806763285024"/>
    <n v="88.076595744680844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23.95833333333333"/>
    <n v="47.035573122529641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86.61329305135951"/>
    <n v="110.99550763701707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14.28538550057536"/>
    <n v="87.003066141042481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97.032531824611041"/>
    <n v="63.994402985074629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22.81904761904762"/>
    <n v="105.9945205479452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79.14326647564468"/>
    <n v="73.989349112426041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79.951577402787962"/>
    <n v="84.02004626060139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94.242587601078171"/>
    <n v="88.966921119592882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84.669291338582681"/>
    <n v="76.9904534606205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66.521920668058456"/>
    <n v="97.146341463414629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53.922222222222224"/>
    <n v="33.013605442176868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41.983299595141702"/>
    <n v="99.950602409638549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14.69479695431472"/>
    <n v="69.966767371601208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34.475000000000001"/>
    <n v="110.32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00.7777777777778"/>
    <n v="66.005235602094245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71.770351758793964"/>
    <n v="41.005742176284812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53.074115044247783"/>
    <n v="103.96316359696641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5"/>
    <n v="5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27.70715249662618"/>
    <n v="47.009935419771487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34.892857142857139"/>
    <n v="29.606060606060606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10.59821428571428"/>
    <n v="81.010569583088667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23.73770491803278"/>
    <n v="94.35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58.973684210526315"/>
    <n v="26.058139534883722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36.892473118279568"/>
    <n v="85.775000000000006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84.91304347826087"/>
    <n v="103.73170731707317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11.814432989690722"/>
    <n v="49.826086956521742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98.7"/>
    <n v="63.893048128342244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26.35175879396985"/>
    <n v="47.002434782608695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73.56363636363636"/>
    <n v="108.47727272727273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71.75675675675677"/>
    <n v="72.015706806282722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60.19230769230771"/>
    <n v="59.928057553956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16.3333333333335"/>
    <n v="78.209677419354833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33.4375"/>
    <n v="104.77678571428571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92.11111111111109"/>
    <n v="105.52475247524752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18.888888888888889"/>
    <n v="24.933333333333334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76.80769230769232"/>
    <n v="69.873786407766985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73.01851851851848"/>
    <n v="95.733766233766232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59.36331255565449"/>
    <n v="29.997485752598056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67.869978858350947"/>
    <n v="59.011948529411768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91.5555555555554"/>
    <n v="84.7573964497041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30.18222222222221"/>
    <n v="78.010921177587846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13.185782556750297"/>
    <n v="50.05215419501134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54.777777777777779"/>
    <n v="59.16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61.02941176470591"/>
    <n v="93.702290076335885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10.257545271629779"/>
    <n v="40.14173228346457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13.962962962962964"/>
    <n v="70.090140845070422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40.444444444444443"/>
    <n v="66.181818181818187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60.32"/>
    <n v="47.714285714285715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83.9433962264151"/>
    <n v="62.896774193548389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63.769230769230766"/>
    <n v="86.611940298507463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25.38095238095238"/>
    <n v="75.126984126984127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72.00961538461539"/>
    <n v="41.004167534903104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46.16709511568124"/>
    <n v="50.007915567282325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76.42361623616236"/>
    <n v="96.960674157303373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39.261467889908261"/>
    <n v="100.93160377358491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11.270034843205574"/>
    <n v="89.227586206896547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22.11084337349398"/>
    <n v="87.979166666666671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86.54166666666669"/>
    <n v="89.54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01"/>
    <n v="29.09271523178808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65.642371234207957"/>
    <n v="42.006218905472636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28.96178343949046"/>
    <n v="47.004903563255965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69.37499999999994"/>
    <n v="110.44117647058823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30.11267605633802"/>
    <n v="41.990909090909092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67.05422993492408"/>
    <n v="48.012468827930178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73.8641975308642"/>
    <n v="31.01982378854625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17.76470588235293"/>
    <n v="99.203252032520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63.850976361767728"/>
    <n v="66.022316684378325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2"/>
    <n v="2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30.2222222222222"/>
    <n v="46.060200668896321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40.356164383561641"/>
    <n v="73.650000000000006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86.220633299284984"/>
    <n v="55.99336650082919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15.58486707566465"/>
    <n v="68.985695127402778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89.618243243243242"/>
    <n v="60.981609195402299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82.14503816793894"/>
    <n v="110.98139534883721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55.88235294117646"/>
    <n v="2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31.83695652173913"/>
    <n v="78.759740259740255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46.315634218289084"/>
    <n v="87.960784313725483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36.132726089785294"/>
    <n v="49.987398739873989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04.62820512820512"/>
    <n v="99.524390243902445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68.85714285714289"/>
    <n v="104.82089552238806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62.072823218997364"/>
    <n v="108.01469237832875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84.699787460148784"/>
    <n v="28.99854466072403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11.059030837004405"/>
    <n v="30.028708133971293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43.838781575037146"/>
    <n v="41.005559416261292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55.470588235294116"/>
    <n v="62.866666666666667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57.399511301160658"/>
    <n v="47.005002501250623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23.43497363796135"/>
    <n v="26.997693638285604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28.46"/>
    <n v="68.329787234042556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63.989361702127653"/>
    <n v="50.974576271186443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27.29885057471265"/>
    <n v="54.024390243902438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10.638024357239512"/>
    <n v="97.055555555555557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40.470588235294116"/>
    <n v="24.867469879518072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87.66666666666663"/>
    <n v="84.423913043478265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72.94444444444446"/>
    <n v="47.091324200913242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12.90429799426933"/>
    <n v="77.996041171813147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46.387573964497044"/>
    <n v="62.967871485943775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90.675916230366497"/>
    <n v="81.006080449017773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67.740740740740748"/>
    <n v="65.321428571428569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92.49019607843135"/>
    <n v="104.43617021276596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82.714285714285722"/>
    <n v="69.989010989010993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54.163920922570021"/>
    <n v="83.023989898989896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16.722222222222221"/>
    <n v="90.3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16.87664041994749"/>
    <n v="103.98131932282546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52.1538461538462"/>
    <n v="54.931726907630519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23.07407407407408"/>
    <n v="51.921875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78.63855421686748"/>
    <n v="60.02834008097166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55.28169014084506"/>
    <n v="44.003488879197555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61.90634146341463"/>
    <n v="53.003513254551258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24.914285714285715"/>
    <n v="54.5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98.72222222222223"/>
    <n v="75.04195804195804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34.752688172043008"/>
    <n v="35.911111111111111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76.41935483870967"/>
    <n v="36.952702702702702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11.38095238095235"/>
    <n v="63.170588235294119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82.044117647058826"/>
    <n v="29.99462365591398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24.326030927835053"/>
    <n v="86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50.482758620689658"/>
    <n v="75.01487603305784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67"/>
    <n v="101.19767441860465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4"/>
    <n v="4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22.84501347708894"/>
    <n v="29.001272669424118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63.4375"/>
    <n v="98.225806451612897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56.331688596491226"/>
    <n v="87.001693480101608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44.074999999999996"/>
    <n v="45.205128205128204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18.37253218884121"/>
    <n v="37.00134156157767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04.1243169398907"/>
    <n v="94.976947040498445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26.640000000000004"/>
    <n v="28.95652173913043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51.20118343195264"/>
    <n v="55.993396226415094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90.063492063492063"/>
    <n v="54.0380952380952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71.625"/>
    <n v="82.38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41.04655870445345"/>
    <n v="66.997115384615384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30.57944915254237"/>
    <n v="107.91401869158878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08.16455696202532"/>
    <n v="69.009501187648453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33.45505617977528"/>
    <n v="39.006568144499177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87.85106382978722"/>
    <n v="110.3625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32"/>
    <n v="94.857142857142861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75.21428571428578"/>
    <n v="57.935251798561154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40.5"/>
    <n v="101.25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84.42857142857144"/>
    <n v="64.95597484276729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85.80555555555554"/>
    <n v="27.00524934383202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19"/>
    <n v="50.97422680412371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39.234070221066318"/>
    <n v="104.94260869565217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78.14000000000001"/>
    <n v="84.028301886792448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65.15"/>
    <n v="102.85915492957747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13.94594594594594"/>
    <n v="39.962085308056871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29.828720626631856"/>
    <n v="51.001785714285717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54.270588235294113"/>
    <n v="40.82300884955752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36.34156976744185"/>
    <n v="58.999637155297535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12.91666666666663"/>
    <n v="71.156069364161851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00.65116279069768"/>
    <n v="99.494252873563212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81.348423194303152"/>
    <n v="103.98634590377114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16.404761904761905"/>
    <n v="76.555555555555557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52.774617067833695"/>
    <n v="87.068592057761734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60.20608108108109"/>
    <n v="48.99554707379135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30.73289183222958"/>
    <n v="42.969135802469133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13.5"/>
    <n v="33.428571428571431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78.62556663644605"/>
    <n v="83.98294970161977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20.0566037735849"/>
    <n v="101.41739130434783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01.5108695652174"/>
    <n v="109.87058823529412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91.5"/>
    <n v="31.916666666666668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05.34683098591546"/>
    <n v="70.993450675399103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23.995287958115181"/>
    <n v="77.026890756302521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23.77777777777771"/>
    <n v="101.78125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47.36"/>
    <n v="51.059701492537314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14.49999999999994"/>
    <n v="68.02051282051282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0.90696409140369971"/>
    <n v="30.87037037037037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34.173469387755098"/>
    <n v="27.908333333333335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23.948810754912099"/>
    <n v="79.994818652849744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48.072649572649574"/>
    <n v="38.003378378378379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n v="0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70.145182291666657"/>
    <n v="59.99053452115813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29.92307692307691"/>
    <n v="37.03763440860215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80.32549019607845"/>
    <n v="99.963043478260872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92.320000000000007"/>
    <n v="111.6774193548387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13.901001112347053"/>
    <n v="36.014409221902014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27.07777777777767"/>
    <n v="66.010284810126578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39.857142857142861"/>
    <n v="44.05263157894737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12.22929936305732"/>
    <n v="52.999726551818434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70.925816023738875"/>
    <n v="95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19.08974358974358"/>
    <n v="70.908396946564892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24.017591339648174"/>
    <n v="98.060773480662988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39.31868131868131"/>
    <n v="53.046025104602514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39.277108433734945"/>
    <n v="93.142857142857139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22.439077144917089"/>
    <n v="58.945075757575758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55.779069767441861"/>
    <n v="36.067669172932334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42.523125996810208"/>
    <n v="63.030732860520096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12.00000000000001"/>
    <n v="84.717948717948715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83"/>
    <n v="62.2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01.74563871693867"/>
    <n v="101.9751833051325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25.75"/>
    <n v="106.4375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45.53947368421052"/>
    <n v="29.975609756097562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32.453465346534657"/>
    <n v="85.806282722513089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00.33333333333326"/>
    <n v="70.82022471910112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83.904860392967933"/>
    <n v="40.998484082870135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84.19047619047619"/>
    <n v="28.063492063492063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55.95180722891567"/>
    <n v="88.054421768707485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99.619450317124731"/>
    <n v="31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80.300000000000011"/>
    <n v="90.337500000000006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11.254901960784313"/>
    <n v="63.777777777777779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91.740952380952379"/>
    <n v="53.995515695067262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95.521156936261391"/>
    <n v="48.993956043956047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02.87499999999994"/>
    <n v="63.857142857142854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59.24394463667818"/>
    <n v="82.996393146979258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15.022446689113355"/>
    <n v="55.08230452674897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82.03846153846149"/>
    <n v="62.044554455445542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49.96938775510205"/>
    <n v="104.978571428571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17.22156398104266"/>
    <n v="94.044676806083643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37.695968274950431"/>
    <n v="44.00771604938271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72.653061224489804"/>
    <n v="92.467532467532465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65.98113207547169"/>
    <n v="57.072874493927124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24.205617977528089"/>
    <n v="109.0784810126582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6"/>
    <n v="39.387755102040813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16.329799764428738"/>
    <n v="77.022222222222226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76.5"/>
    <n v="92.16666666666667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88.803571428571431"/>
    <n v="61.007063197026021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63.57142857142856"/>
    <n v="78.068181818181813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69"/>
    <n v="80.75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70.91376701966715"/>
    <n v="59.991289782244557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84.21355932203392"/>
    <n v="110.03018372703411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4"/>
    <n v="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58.6329816768462"/>
    <n v="37.99856063332134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98.51111111111112"/>
    <n v="96.36956521739129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43.975381008206334"/>
    <n v="72.97859922178987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51.66315789473683"/>
    <n v="26.007220216606498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23.63492063492063"/>
    <n v="104.36296296296297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39.75"/>
    <n v="102.18852459016394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99.33333333333334"/>
    <n v="54.117647058823529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37.34482758620689"/>
    <n v="63.222222222222221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00.9696106362773"/>
    <n v="104.03228962818004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94.16"/>
    <n v="49.99433427762039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69.7"/>
    <n v="56.015151515151516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12.818181818181817"/>
    <n v="48.807692307692307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38.02702702702703"/>
    <n v="60.082352941176474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83.813278008298752"/>
    <n v="78.990502793296088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04.60063224446787"/>
    <n v="53.99499443826474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44.344086021505376"/>
    <n v="111.45945945945945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18.60294117647058"/>
    <n v="60.922131147540981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86.03314917127071"/>
    <n v="26.001544401544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37.33830845771143"/>
    <n v="80.99320882852292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05.65384615384613"/>
    <n v="34.995963302752294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94.142857142857139"/>
    <n v="94.142857142857139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54.400000000000006"/>
    <n v="52.085106382978722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11.88059701492537"/>
    <n v="24.986666666666668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69.14814814814815"/>
    <n v="69.215277777777771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62.930372148859547"/>
    <n v="93.944444444444443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64.927835051546396"/>
    <n v="98.40625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18.853658536585368"/>
    <n v="41.783783783783782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16.754404145077721"/>
    <n v="65.991836734693877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01.11290322580646"/>
    <n v="72.05747126436782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41.5022831050228"/>
    <n v="48.003209242618745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64.016666666666666"/>
    <n v="54.098591549295776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52.080459770114942"/>
    <n v="107.88095238095238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22.40211640211641"/>
    <n v="67.034103410341032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19.50810185185186"/>
    <n v="64.01425914445133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46.79775280898878"/>
    <n v="96.066176470588232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50.57142857142856"/>
    <n v="51.184615384615384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72.893617021276597"/>
    <n v="43.92307692307692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79.008248730964468"/>
    <n v="91.021198830409361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64.721518987341781"/>
    <n v="50.127450980392155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82.028169014084511"/>
    <n v="67.720930232558146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37.6666666666667"/>
    <n v="61.03921568627451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12.910076530612244"/>
    <n v="80.011857707509876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54.84210526315789"/>
    <n v="47.001497753369947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8"/>
    <n v="71.127388535031841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08.52773826458036"/>
    <n v="89.99079189686924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99.683544303797461"/>
    <n v="43.032786885245905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01.59756097560978"/>
    <n v="67.997714808043881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62.09032258064516"/>
    <n v="73.004566210045667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"/>
    <n v="62.341463414634148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5"/>
    <n v="5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06.63492063492063"/>
    <n v="67.103092783505161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28.23628691983123"/>
    <n v="79.978947368421046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19.66037735849055"/>
    <n v="62.176470588235297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70.73055242390078"/>
    <n v="53.005950297514879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87.21212121212122"/>
    <n v="57.738317757009348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88.38235294117646"/>
    <n v="40.03125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31.29869186046511"/>
    <n v="81.016591928251117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83.97435897435901"/>
    <n v="35.047468354430379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20.41999999999999"/>
    <n v="102.92307692307692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19.0560747663551"/>
    <n v="27.99812675616609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13.853658536585368"/>
    <n v="75.73333333333333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39.43548387096774"/>
    <n v="45.026041666666664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74"/>
    <n v="73.615384615384613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55.49056603773585"/>
    <n v="56.991701244813278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70.44705882352943"/>
    <n v="85.22352941176470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89.515625"/>
    <n v="50.962184873949582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49.71428571428572"/>
    <n v="63.563636363636363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48.860523665659613"/>
    <n v="80.999165275459092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28.461970393057683"/>
    <n v="86.044753086419746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68.02325581395348"/>
    <n v="90.0390625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19.80078125"/>
    <n v="74.006063432835816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1"/>
    <n v="92.4375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59.92152704135739"/>
    <n v="55.999257333828446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79.39215686274508"/>
    <n v="32.983796296296298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77.373333333333335"/>
    <n v="93.59677419354838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06.32812500000003"/>
    <n v="69.867724867724874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94.25"/>
    <n v="72.129870129870127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51.78947368421052"/>
    <n v="30.041666666666668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64.58207217694995"/>
    <n v="73.968000000000004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62.873684210526314"/>
    <n v="68.65517241379311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10.39864864864865"/>
    <n v="59.992164544564154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42.859916782246884"/>
    <n v="111.15827338129496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83.119402985074629"/>
    <n v="53.03809523809523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78.531302876480552"/>
    <n v="55.985524728588658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14.09352517985612"/>
    <n v="69.986760812003524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64.537683358624179"/>
    <n v="48.998079877112133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79.411764705882348"/>
    <n v="103.84615384615384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11.419117647058824"/>
    <n v="99.127659574468083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56.186046511627907"/>
    <n v="107.37777777777778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16.501669449081803"/>
    <n v="76.922178988326849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19.96808510638297"/>
    <n v="58.128865979381445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45.45652173913044"/>
    <n v="103.73643410852713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21.38255033557047"/>
    <n v="87.962666666666664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48.396694214876035"/>
    <n v="28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92.911504424778755"/>
    <n v="37.999361294443261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88.599797365754824"/>
    <n v="29.99931389365351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41.4"/>
    <n v="103.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63.056795131845846"/>
    <n v="85.994467496542185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48.482333607230892"/>
    <n v="98.01162790697674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2"/>
    <n v="2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88.47941026944585"/>
    <n v="44.994570837642193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26.84"/>
    <n v="31.012224938875306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38.833333333333"/>
    <n v="59.970085470085472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08.38857142857148"/>
    <n v="58.9973474801061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91.47826086956522"/>
    <n v="50.045454545454547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42.127533783783782"/>
    <n v="98.966269841269835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"/>
    <n v="58.857142857142854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60.064638783269963"/>
    <n v="81.010256410256417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47.232808616404313"/>
    <n v="76.013333333333335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81.736263736263737"/>
    <n v="96.597402597402592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54.187265917603"/>
    <n v="76.957446808510639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97.868131868131869"/>
    <n v="67.984732824427482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77.239999999999995"/>
    <n v="88.781609195402297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33.464735516372798"/>
    <n v="24.99623706491063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39.58823529411765"/>
    <n v="44.922794117647058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64.032258064516128"/>
    <n v="79.400000000000006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76.15942028985506"/>
    <n v="29.009546539379475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20.33818181818182"/>
    <n v="73.59210526315789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58.64754098360658"/>
    <n v="107.97038864898211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68.85802469135803"/>
    <n v="68.987284287011803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22.05635245901641"/>
    <n v="111.0223671947809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55.931783729156137"/>
    <n v="24.997515808491418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43.660714285714285"/>
    <n v="42.155172413793103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33.53837141183363"/>
    <n v="47.003284072249592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22.97938144329896"/>
    <n v="36.0392749244713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89.74959871589084"/>
    <n v="101.03760683760684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83.622641509433961"/>
    <n v="39.927927927927925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17.968844221105527"/>
    <n v="83.158139534883716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36.5"/>
    <n v="39.97520661157025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97.405219780219781"/>
    <n v="47.993908629441627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86.386203150461711"/>
    <n v="95.97887748943874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50.16666666666666"/>
    <n v="78.728155339805824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58.43478260869563"/>
    <n v="56.081632653061227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42.85714285714289"/>
    <n v="69.090909090909093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67.500714285714281"/>
    <n v="102.0529157667386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91.74666666666667"/>
    <n v="107.32089552238806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32"/>
    <n v="51.970260223048328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29.27586206896552"/>
    <n v="71.137142857142862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00.65753424657535"/>
    <n v="106.49275362318841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26.61111111111109"/>
    <n v="42.93684210526316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42.38"/>
    <n v="30.037974683544302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90.633333333333326"/>
    <n v="70.623376623376629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63.966740576496676"/>
    <n v="66.016018306636155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84.131868131868131"/>
    <n v="96.911392405063296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33.93478260869566"/>
    <n v="62.86734693877551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59.042047531992694"/>
    <n v="108.98537682789652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52.80062063615205"/>
    <n v="26.999314599040439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46.69121140142522"/>
    <n v="65.004147943311438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84.391891891891888"/>
    <n v="111.51785714285714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3"/>
    <n v="3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75.02692307692308"/>
    <n v="110.99268292682927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54.137931034482754"/>
    <n v="56.74698795180722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11.87381703470032"/>
    <n v="97.020608439646708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22.78160919540231"/>
    <n v="92.08620689655173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99.026517383618156"/>
    <n v="82.986666666666665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27.84686346863469"/>
    <n v="103.03791821561339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58.61643835616439"/>
    <n v="68.922619047619051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07.05882352941171"/>
    <n v="87.737226277372258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42.38775510204081"/>
    <n v="75.021505376344081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47.86046511627907"/>
    <n v="50.863999999999997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20.322580645161288"/>
    <n v="90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40.625"/>
    <n v="72.896039603960389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61.94202898550725"/>
    <n v="108.48543689320388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72.82077922077923"/>
    <n v="101.98095238095237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24.466101694915253"/>
    <n v="44.009146341463413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17.65"/>
    <n v="65.942675159235662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47.64285714285714"/>
    <n v="24.987387387387386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00.20481927710843"/>
    <n v="28.003367003367003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53"/>
    <n v="85.829268292682926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37.091954022988503"/>
    <n v="84.921052631578945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3"/>
    <n v="90.483333333333334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56.50721649484535"/>
    <n v="25.00197628458498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70.40816326530609"/>
    <n v="92.013888888888886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34.05952380952382"/>
    <n v="93.066115702479337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50.398033126293996"/>
    <n v="61.00814536340852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88.815837937384899"/>
    <n v="92.036259541984734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65"/>
    <n v="81.132596685082873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17.5"/>
    <n v="73.5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85.66071428571428"/>
    <n v="85.221311475409834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12.6631944444444"/>
    <n v="110.96825396825396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90.25"/>
    <n v="32.968036529680369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91.984615384615381"/>
    <n v="96.005352363960753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27.00632911392404"/>
    <n v="84.96632653061225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19.14285714285711"/>
    <n v="25.007462686567163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54.18867924528303"/>
    <n v="65.998995479658461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32.896103896103895"/>
    <n v="87.34482758620689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35.8918918918919"/>
    <n v="27.933333333333334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5"/>
    <n v="103.8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61"/>
    <n v="31.937172774869111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30.037735849056602"/>
    <n v="99.5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79.1666666666665"/>
    <n v="108.84615384615384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26.0833333333335"/>
    <n v="110.76229508196721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12.923076923076923"/>
    <n v="29.647058823529413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12"/>
    <n v="101.71428571428571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30.304347826086957"/>
    <n v="61.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12.50896057347671"/>
    <n v="35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28.85714285714286"/>
    <n v="40.049999999999997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34.959979476654695"/>
    <n v="110.97231270358306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57.29069767441862"/>
    <n v="36.959016393442624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1"/>
    <n v="1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32.30555555555554"/>
    <n v="30.974074074074075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92.448275862068968"/>
    <n v="47.035087719298247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56.70212765957444"/>
    <n v="88.065693430656935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68.47017045454547"/>
    <n v="37.00561622464898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66.57777777777778"/>
    <n v="26.027777777777779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72.07692307692309"/>
    <n v="67.817567567567565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06.85714285714283"/>
    <n v="49.964912280701753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64.20608108108115"/>
    <n v="110.01646903820817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68.426865671641792"/>
    <n v="89.964678178963894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34.351966873706004"/>
    <n v="79.009523809523813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55.4545454545455"/>
    <n v="86.867469879518069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77.25714285714284"/>
    <n v="62.04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13.17857142857144"/>
    <n v="26.970212765957445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28.18181818181824"/>
    <n v="54.121621621621621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08.33333333333334"/>
    <n v="41.035353535353536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31.171232876712331"/>
    <n v="55.052419354838712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56.967078189300416"/>
    <n v="107.93762183235867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31"/>
    <n v="73.92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86.867834394904463"/>
    <n v="31.995894428152493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70.74418604651163"/>
    <n v="53.89814814814814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49.446428571428569"/>
    <n v="106.5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13.3596256684492"/>
    <n v="32.999805409612762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90.55555555555554"/>
    <n v="43.00254993625159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35.5"/>
    <n v="86.858974358974365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10.297872340425531"/>
    <n v="96.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65.544223826714799"/>
    <n v="32.995456610631528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49.026652452025587"/>
    <n v="68.028106508875737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87.92307692307691"/>
    <n v="58.867816091954026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80.306347746090154"/>
    <n v="105.04572803850782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06.29411764705883"/>
    <n v="33.054878048780488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50.735632183908038"/>
    <n v="78.821428571428569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15.31372549019611"/>
    <n v="68.204968944099377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41.22972972972974"/>
    <n v="75.731884057971016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15.33745781777279"/>
    <n v="30.996070133010882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93.11940298507463"/>
    <n v="101.88188976377953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29.73333333333335"/>
    <n v="52.879227053140099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99.66339869281046"/>
    <n v="71.005820721769496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88.166666666666671"/>
    <n v="102.38709677419355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37.233333333333334"/>
    <n v="74.466666666666669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30.540075309306079"/>
    <n v="51.009883198562441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25.714285714285712"/>
    <n v="90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34"/>
    <n v="97.142857142857139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85.909090909091"/>
    <n v="72.071823204419886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25.39393939393939"/>
    <n v="75.236363636363635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14.394366197183098"/>
    <n v="32.967741935483872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54.807692307692314"/>
    <n v="54.807692307692307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09.63157894736841"/>
    <n v="45.037837837837834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88.47058823529412"/>
    <n v="52.958677685950413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87.008284023668637"/>
    <n v="60.017959183673469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1"/>
    <n v="1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02.9130434782609"/>
    <n v="44.028301886792455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97.03225806451613"/>
    <n v="86.028169014084511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07"/>
    <n v="28.012875536480685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68.73076923076923"/>
    <n v="32.050458715596328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50.845360824742272"/>
    <n v="73.611940298507463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80.2857142857142"/>
    <n v="108.71052631578948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64"/>
    <n v="42.97674418604651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30.44230769230769"/>
    <n v="83.315789473684205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62.880681818181813"/>
    <n v="42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93.125"/>
    <n v="55.927601809954751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77.102702702702715"/>
    <n v="105.03681885125184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25.52763819095478"/>
    <n v="48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39.40625"/>
    <n v="112.66176470588235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92.1875"/>
    <n v="81.944444444444443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30.23333333333335"/>
    <n v="64.049180327868854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15.21739130434787"/>
    <n v="106.39097744360902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68.79532163742692"/>
    <n v="76.01124949779027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94.8571428571429"/>
    <n v="111.07246376811594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50.662921348314605"/>
    <n v="95.936170212765958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00.6"/>
    <n v="43.043010752688176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91.28571428571428"/>
    <n v="67.966666666666669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49.9666666666667"/>
    <n v="89.991428571428571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57.07317073170731"/>
    <n v="58.095238095238095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26.48941176470588"/>
    <n v="83.996875000000003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87.5"/>
    <n v="88.853503184713375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57.03571428571428"/>
    <n v="65.963917525773198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66.69565217391306"/>
    <n v="74.804878048780495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69"/>
    <n v="69.98571428571428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51.34375"/>
    <n v="32.006493506493506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"/>
    <n v="64.727272727272734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08.97734294541709"/>
    <n v="24.998110087408456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15.17592592592592"/>
    <n v="104.97764070932922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57.69117647058823"/>
    <n v="64.987878787878785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53.8082191780822"/>
    <n v="94.352941176470594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89.738979118329468"/>
    <n v="44.001706484641637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75.135802469135797"/>
    <n v="64.744680851063833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52.88135593220341"/>
    <n v="84.00667779632721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38.90625"/>
    <n v="34.061302681992338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90.18181818181819"/>
    <n v="93.273885350318466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00.24333619948409"/>
    <n v="32.998301726577978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42.75824175824175"/>
    <n v="83.812903225806451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63.13333333333333"/>
    <n v="63.992424242424242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30.715909090909086"/>
    <n v="81.909090909090907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99.39772727272728"/>
    <n v="93.053191489361708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97.54935622317598"/>
    <n v="101.98449039881831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08.5"/>
    <n v="105.9375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37.74468085106383"/>
    <n v="101.58181818181818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38.46875"/>
    <n v="62.970930232558139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33.08955223880596"/>
    <n v="29.04560260586319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1"/>
    <n v="1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07.79999999999998"/>
    <n v="77.924999999999997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51.122448979591837"/>
    <n v="80.806451612903231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52.05847953216369"/>
    <n v="76.006816632583508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13.63099415204678"/>
    <n v="72.993613824192337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02.37606837606839"/>
    <n v="53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56.58333333333331"/>
    <n v="54.164556962025316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39.86792452830187"/>
    <n v="32.946666666666665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69.45"/>
    <n v="79.371428571428567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35.534246575342465"/>
    <n v="41.174603174603178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51.65"/>
    <n v="77.43076923076922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05.87500000000001"/>
    <n v="57.15950920245398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87.42857142857144"/>
    <n v="77.17647058823529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86.78571428571428"/>
    <n v="24.953917050691246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47.07142857142856"/>
    <n v="97.18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85.82098765432099"/>
    <n v="46.000916870415651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43.241247264770237"/>
    <n v="88.023385300668153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62.4375"/>
    <n v="25.9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84.84285714285716"/>
    <n v="102.69047619047619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23.703520691785052"/>
    <n v="72.958174904942965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89.870129870129873"/>
    <n v="57.19008264462809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72.6041958041958"/>
    <n v="84.013793103448279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70.04255319148936"/>
    <n v="98.666666666666671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88.28503562945369"/>
    <n v="42.007419183889773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46.93532338308455"/>
    <n v="32.002753556677376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69.177215189873422"/>
    <n v="81.567164179104481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25.433734939759034"/>
    <n v="37.035087719298247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77.400977995110026"/>
    <n v="103.033360455655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37.481481481481481"/>
    <n v="84.333333333333329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43.79999999999995"/>
    <n v="102.60377358490567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28.52189349112427"/>
    <n v="79.992129246064621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38.948339483394832"/>
    <n v="70.055309734513273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70"/>
    <n v="37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37.91176470588232"/>
    <n v="41.911917098445599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64.036299765807954"/>
    <n v="57.992576882290564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18.27777777777777"/>
    <n v="40.942307692307693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84.824037184594957"/>
    <n v="69.9972602739726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29.346153846153843"/>
    <n v="73.83870967741935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09.89655172413794"/>
    <n v="41.97931034482758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69.78571428571431"/>
    <n v="77.93442622950819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15.95907738095239"/>
    <n v="106.0197278911564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58.59999999999997"/>
    <n v="47.018181818181816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30.58333333333331"/>
    <n v="76.016483516483518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28.21428571428572"/>
    <n v="54.12060301507537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88.70588235294116"/>
    <n v="57.285714285714285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07"/>
    <n v="103.81308411214954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74.43434343434342"/>
    <n v="105.02602739726028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27.693181818181817"/>
    <n v="90.259259259259252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52.479620323841424"/>
    <n v="76.978705978705975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07.09677419354841"/>
    <n v="102.60162601626017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2"/>
    <n v="2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56.17857142857144"/>
    <n v="55.0062893081761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52.42857142857144"/>
    <n v="32.127272727272725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"/>
    <n v="50.642857142857146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12.230769230769232"/>
    <n v="49.6875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63.98734177215189"/>
    <n v="54.8940677966101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62.98181818181817"/>
    <n v="46.931937172774866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20.252747252747252"/>
    <n v="44.951219512195124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19.24083769633506"/>
    <n v="30.99898322318251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78.94444444444446"/>
    <n v="107.7625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19.556634304207122"/>
    <n v="102.07770270270271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98.94827586206895"/>
    <n v="24.976190476190474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95"/>
    <n v="79.94413407821228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50.621082621082621"/>
    <n v="67.946462715105156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57.4375"/>
    <n v="26.070921985815602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55.62827640984909"/>
    <n v="105.0032154340836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36.297297297297298"/>
    <n v="25.826923076923077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58.25"/>
    <n v="77.666666666666671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37.39473684210526"/>
    <n v="57.82692307692308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58.75"/>
    <n v="92.955555555555549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82.56603773584905"/>
    <n v="37.945098039215686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0.75436408977556113"/>
    <n v="31.842105263157894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75.95330739299609"/>
    <n v="40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37.88235294117646"/>
    <n v="101.1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88.05076142131981"/>
    <n v="84.006989951944078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24.06666666666669"/>
    <n v="103.41538461538461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18.126436781609197"/>
    <n v="105.13333333333334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45.847222222222221"/>
    <n v="89.21621621621621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17.31541218637993"/>
    <n v="51.995234312946785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17.30909090909088"/>
    <n v="64.956521739130437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12.28571428571428"/>
    <n v="46.235294117647058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72.51898734177216"/>
    <n v="51.151785714285715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12.30434782608697"/>
    <n v="33.909722222222221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39.74657534246577"/>
    <n v="92.016298633017882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81.93548387096774"/>
    <n v="107.42857142857143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64.13114754098362"/>
    <n v="75.848484848484844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2"/>
    <n v="80.476190476190482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49.64385964912281"/>
    <n v="86.978483606557376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09.70652173913042"/>
    <n v="105.13541666666667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49.217948717948715"/>
    <n v="57.298507462686565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62.232323232323225"/>
    <n v="93.348484848484844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13.05813953488372"/>
    <n v="71.987179487179489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64.635416666666671"/>
    <n v="92.611940298507463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59.58666666666667"/>
    <n v="104.99122807017544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81.42"/>
    <n v="30.95817490494296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32.444767441860463"/>
    <n v="33.00118273211117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"/>
    <n v="84.187845303867405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26.694444444444443"/>
    <n v="73.92307692307692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62.957446808510639"/>
    <n v="36.987499999999997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61.35593220338984"/>
    <n v="46.896551724137929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5"/>
    <n v="5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96.9379310344827"/>
    <n v="102.02437459910199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70.094158075601371"/>
    <n v="45.007502206531335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60"/>
    <n v="94.285714285714292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67.0985915492958"/>
    <n v="101.02325581395348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09"/>
    <n v="97.037499999999994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19.028784648187631"/>
    <n v="43.00963855421687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26.87755102040816"/>
    <n v="94.916030534351151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34.63636363636363"/>
    <n v="72.151785714285708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3"/>
    <n v="51.007692307692309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85.054545454545448"/>
    <n v="85.0545454545454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19.29824561403508"/>
    <n v="43.87096774193548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96.02777777777777"/>
    <n v="40.063909774436091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84.694915254237287"/>
    <n v="43.833333333333336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55.7837837837838"/>
    <n v="84.92903225806451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86.40909090909093"/>
    <n v="41.067632850241544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92.23529411764707"/>
    <n v="54.971428571428568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37.03393665158373"/>
    <n v="77.010807374443743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38.20833333333337"/>
    <n v="71.201754385964918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08.22784810126582"/>
    <n v="91.935483870967744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60.757639620653315"/>
    <n v="97.069023569023571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27.725490196078432"/>
    <n v="58.916666666666664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28.3934426229508"/>
    <n v="58.015466983938133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21.615194054500414"/>
    <n v="103.87301587301587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73.875"/>
    <n v="93.46875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54.92592592592592"/>
    <n v="61.970370370370368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22.14999999999998"/>
    <n v="92.042857142857144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73.957142857142856"/>
    <n v="77.268656716417908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64.1"/>
    <n v="93.923913043478265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43.26245847176079"/>
    <n v="84.969458128078813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40.281762295081968"/>
    <n v="105.97035040431267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78.22388059701493"/>
    <n v="36.969040247678016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84.930555555555557"/>
    <n v="81.533333333333331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45.93648334624322"/>
    <n v="80.999140154772135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52.46153846153848"/>
    <n v="26.010498687664043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67.129542790152414"/>
    <n v="25.998410896708286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40.307692307692307"/>
    <n v="34.173913043478258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16.79032258064518"/>
    <n v="28.00208333333333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52.117021276595743"/>
    <n v="76.546875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99.58333333333337"/>
    <n v="53.053097345132741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87.679487179487182"/>
    <n v="106.859375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13.17346938775511"/>
    <n v="46.020746887966808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26.54838709677421"/>
    <n v="100.17424242424242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77.632653061224488"/>
    <n v="101.44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52.496810772501767"/>
    <n v="87.972684085510693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57.46762589928059"/>
    <n v="74.995594713656388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72.939393939393938"/>
    <n v="42.98214285714285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60.565789473684205"/>
    <n v="33.11510791366906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56.791291291291287"/>
    <n v="101.13101604278074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56.542754275427541"/>
    <n v="55.98841354723708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s v="CA"/>
    <s v="CAD"/>
    <n v="1448690400"/>
    <n v="1450159200"/>
    <b v="0"/>
    <b v="0"/>
    <s v="food/food trucks"/>
    <n v="0"/>
    <n v="0"/>
    <x v="0"/>
    <s v="food trucks"/>
    <x v="0"/>
    <d v="1974-08-06T10:12:00"/>
  </r>
  <r>
    <n v="1"/>
    <s v="Odom Inc"/>
    <s v="Managed bottom-line architecture"/>
    <n v="1400"/>
    <n v="14560"/>
    <x v="1"/>
    <n v="158"/>
    <s v="US"/>
    <s v="USD"/>
    <n v="1408424400"/>
    <n v="1408597200"/>
    <b v="0"/>
    <b v="1"/>
    <s v="music/rock"/>
    <n v="1040"/>
    <n v="92.151898734177209"/>
    <x v="1"/>
    <s v="rock"/>
    <x v="1"/>
    <d v="1974-06-19T07:42:00"/>
  </r>
  <r>
    <n v="2"/>
    <s v="Melton, Robinson and Fritz"/>
    <s v="Function-based leadingedge pricing structure"/>
    <n v="108400"/>
    <n v="142523"/>
    <x v="1"/>
    <n v="1425"/>
    <s v="AU"/>
    <s v="AUD"/>
    <n v="1384668000"/>
    <n v="1384840800"/>
    <b v="0"/>
    <b v="0"/>
    <s v="technology/web"/>
    <n v="131.4787822878229"/>
    <n v="100.01614035087719"/>
    <x v="2"/>
    <s v="web"/>
    <x v="2"/>
    <d v="1974-05-22T19:48:00"/>
  </r>
  <r>
    <n v="3"/>
    <s v="Mcdonald, Gonzalez and Ross"/>
    <s v="Vision-oriented fresh-thinking conglomeration"/>
    <n v="4200"/>
    <n v="2477"/>
    <x v="0"/>
    <n v="24"/>
    <s v="US"/>
    <s v="USD"/>
    <n v="1565499600"/>
    <n v="1568955600"/>
    <b v="0"/>
    <b v="0"/>
    <s v="music/rock"/>
    <n v="58.976190476190467"/>
    <n v="103.20833333333333"/>
    <x v="1"/>
    <s v="rock"/>
    <x v="3"/>
    <d v="1974-12-21T22:06:00"/>
  </r>
  <r>
    <n v="4"/>
    <s v="Larson-Little"/>
    <s v="Proactive foreground core"/>
    <n v="7600"/>
    <n v="5265"/>
    <x v="0"/>
    <n v="53"/>
    <s v="US"/>
    <s v="USD"/>
    <n v="1547964000"/>
    <n v="1548309600"/>
    <b v="0"/>
    <b v="0"/>
    <s v="theater/plays"/>
    <n v="69.276315789473685"/>
    <n v="99.339622641509436"/>
    <x v="3"/>
    <s v="plays"/>
    <x v="4"/>
    <d v="1974-11-28T00:36:00"/>
  </r>
  <r>
    <n v="5"/>
    <s v="Harris Group"/>
    <s v="Open-source optimizing database"/>
    <n v="7600"/>
    <n v="13195"/>
    <x v="1"/>
    <n v="174"/>
    <s v="DK"/>
    <s v="DKK"/>
    <n v="1346130000"/>
    <n v="1347080400"/>
    <b v="0"/>
    <b v="0"/>
    <s v="theater/plays"/>
    <n v="173.61842105263159"/>
    <n v="75.833333333333329"/>
    <x v="3"/>
    <s v="plays"/>
    <x v="5"/>
    <d v="1974-04-09T02:54:00"/>
  </r>
  <r>
    <n v="6"/>
    <s v="Ortiz, Coleman and Mitchell"/>
    <s v="Operative upward-trending algorithm"/>
    <n v="5200"/>
    <n v="1090"/>
    <x v="0"/>
    <n v="18"/>
    <s v="GB"/>
    <s v="GBP"/>
    <n v="1505278800"/>
    <n v="1505365200"/>
    <b v="0"/>
    <b v="0"/>
    <s v="film &amp; video/documentary"/>
    <n v="20.961538461538463"/>
    <n v="60.555555555555557"/>
    <x v="4"/>
    <s v="documentary"/>
    <x v="6"/>
    <d v="1974-10-09T07:42:00"/>
  </r>
  <r>
    <n v="7"/>
    <s v="Carter-Guzman"/>
    <s v="Centralized cohesive challenge"/>
    <n v="4500"/>
    <n v="14741"/>
    <x v="1"/>
    <n v="227"/>
    <s v="DK"/>
    <s v="DKK"/>
    <n v="1439442000"/>
    <n v="1439614800"/>
    <b v="0"/>
    <b v="0"/>
    <s v="theater/plays"/>
    <n v="327.57777777777778"/>
    <n v="64.93832599118943"/>
    <x v="3"/>
    <s v="plays"/>
    <x v="7"/>
    <d v="1974-07-25T05:18:00"/>
  </r>
  <r>
    <n v="8"/>
    <s v="Nunez-Richards"/>
    <s v="Exclusive attitude-oriented intranet"/>
    <n v="110100"/>
    <n v="21946"/>
    <x v="2"/>
    <n v="708"/>
    <s v="DK"/>
    <s v="DKK"/>
    <n v="1281330000"/>
    <n v="1281502800"/>
    <b v="0"/>
    <b v="0"/>
    <s v="theater/plays"/>
    <n v="19.932788374205266"/>
    <n v="30.997175141242938"/>
    <x v="3"/>
    <s v="plays"/>
    <x v="8"/>
    <d v="1974-01-23T05:18:00"/>
  </r>
  <r>
    <n v="9"/>
    <s v="Rangel, Holt and Jones"/>
    <s v="Open-source fresh-thinking model"/>
    <n v="6200"/>
    <n v="3208"/>
    <x v="0"/>
    <n v="44"/>
    <s v="US"/>
    <s v="USD"/>
    <n v="1379566800"/>
    <n v="1383804000"/>
    <b v="0"/>
    <b v="0"/>
    <s v="music/electric music"/>
    <n v="51.741935483870968"/>
    <n v="72.909090909090907"/>
    <x v="1"/>
    <s v="electric music"/>
    <x v="9"/>
    <d v="1974-05-21T15:00:00"/>
  </r>
  <r>
    <n v="10"/>
    <s v="Green Ltd"/>
    <s v="Monitored empowering installation"/>
    <n v="5200"/>
    <n v="13838"/>
    <x v="1"/>
    <n v="220"/>
    <s v="US"/>
    <s v="USD"/>
    <n v="1281762000"/>
    <n v="1285909200"/>
    <b v="0"/>
    <b v="0"/>
    <s v="film &amp; video/drama"/>
    <n v="266.11538461538464"/>
    <n v="62.9"/>
    <x v="4"/>
    <s v="drama"/>
    <x v="10"/>
    <d v="1974-01-28T07:42:00"/>
  </r>
  <r>
    <n v="11"/>
    <s v="Perez, Johnson and Gardner"/>
    <s v="Grass-roots zero administration system engine"/>
    <n v="6300"/>
    <n v="3030"/>
    <x v="0"/>
    <n v="27"/>
    <s v="US"/>
    <s v="USD"/>
    <n v="1285045200"/>
    <n v="1285563600"/>
    <b v="0"/>
    <b v="1"/>
    <s v="theater/plays"/>
    <n v="48.095238095238095"/>
    <n v="112.22222222222223"/>
    <x v="3"/>
    <s v="plays"/>
    <x v="11"/>
    <d v="1974-01-27T22:06:00"/>
  </r>
  <r>
    <n v="12"/>
    <s v="Kim Ltd"/>
    <s v="Assimilated hybrid intranet"/>
    <n v="6300"/>
    <n v="5629"/>
    <x v="0"/>
    <n v="55"/>
    <s v="US"/>
    <s v="USD"/>
    <n v="1571720400"/>
    <n v="1572411600"/>
    <b v="0"/>
    <b v="0"/>
    <s v="film &amp; video/drama"/>
    <n v="89.349206349206341"/>
    <n v="102.34545454545454"/>
    <x v="4"/>
    <s v="drama"/>
    <x v="12"/>
    <d v="1974-12-25T22:06:00"/>
  </r>
  <r>
    <n v="13"/>
    <s v="Walker, Taylor and Coleman"/>
    <s v="Multi-tiered directional open architecture"/>
    <n v="4200"/>
    <n v="10295"/>
    <x v="1"/>
    <n v="98"/>
    <s v="US"/>
    <s v="USD"/>
    <n v="1465621200"/>
    <n v="1466658000"/>
    <b v="0"/>
    <b v="0"/>
    <s v="music/indie rock"/>
    <n v="245.11904761904765"/>
    <n v="105.05102040816327"/>
    <x v="1"/>
    <s v="indie rock"/>
    <x v="13"/>
    <d v="1974-08-25T12:30:00"/>
  </r>
  <r>
    <n v="14"/>
    <s v="Rodriguez, Rose and Stewart"/>
    <s v="Cloned directional synergy"/>
    <n v="28200"/>
    <n v="18829"/>
    <x v="0"/>
    <n v="200"/>
    <s v="US"/>
    <s v="USD"/>
    <n v="1331013600"/>
    <n v="1333342800"/>
    <b v="0"/>
    <b v="0"/>
    <s v="music/indie rock"/>
    <n v="66.769503546099301"/>
    <n v="94.144999999999996"/>
    <x v="1"/>
    <s v="indie rock"/>
    <x v="14"/>
    <d v="1974-03-24T05:18:00"/>
  </r>
  <r>
    <n v="15"/>
    <s v="Wright, Hunt and Rowe"/>
    <s v="Extended eco-centric pricing structure"/>
    <n v="81200"/>
    <n v="38414"/>
    <x v="0"/>
    <n v="452"/>
    <s v="US"/>
    <s v="USD"/>
    <n v="1575957600"/>
    <n v="1576303200"/>
    <b v="0"/>
    <b v="0"/>
    <s v="technology/wearables"/>
    <n v="47.307881773399011"/>
    <n v="84.986725663716811"/>
    <x v="2"/>
    <s v="wearables"/>
    <x v="15"/>
    <d v="1974-12-30T10:12:00"/>
  </r>
  <r>
    <n v="16"/>
    <s v="Hines Inc"/>
    <s v="Cross-platform systemic adapter"/>
    <n v="1700"/>
    <n v="11041"/>
    <x v="1"/>
    <n v="100"/>
    <s v="US"/>
    <s v="USD"/>
    <n v="1390370400"/>
    <n v="1392271200"/>
    <b v="0"/>
    <b v="0"/>
    <s v="publishing/nonfiction"/>
    <n v="649.47058823529414"/>
    <n v="110.41"/>
    <x v="5"/>
    <s v="nonfiction"/>
    <x v="16"/>
    <d v="1974-05-31T10:12:00"/>
  </r>
  <r>
    <n v="17"/>
    <s v="Cochran-Nguyen"/>
    <s v="Seamless 4thgeneration methodology"/>
    <n v="84600"/>
    <n v="134845"/>
    <x v="1"/>
    <n v="1249"/>
    <s v="US"/>
    <s v="USD"/>
    <n v="1294812000"/>
    <n v="1294898400"/>
    <b v="0"/>
    <b v="0"/>
    <s v="film &amp; video/animation"/>
    <n v="159.39125295508273"/>
    <n v="107.96236989591674"/>
    <x v="4"/>
    <s v="animation"/>
    <x v="17"/>
    <d v="1974-02-07T17:24:00"/>
  </r>
  <r>
    <n v="18"/>
    <s v="Johnson-Gould"/>
    <s v="Exclusive needs-based adapter"/>
    <n v="9100"/>
    <n v="6089"/>
    <x v="3"/>
    <n v="135"/>
    <s v="US"/>
    <s v="USD"/>
    <n v="1536382800"/>
    <n v="1537074000"/>
    <b v="0"/>
    <b v="0"/>
    <s v="theater/plays"/>
    <n v="66.912087912087912"/>
    <n v="45.103703703703701"/>
    <x v="3"/>
    <s v="plays"/>
    <x v="18"/>
    <d v="1974-11-15T00:30:00"/>
  </r>
  <r>
    <n v="19"/>
    <s v="Perez-Hess"/>
    <s v="Down-sized cohesive archive"/>
    <n v="62500"/>
    <n v="30331"/>
    <x v="0"/>
    <n v="674"/>
    <s v="US"/>
    <s v="USD"/>
    <n v="1551679200"/>
    <n v="1553490000"/>
    <b v="0"/>
    <b v="1"/>
    <s v="theater/plays"/>
    <n v="48.529600000000002"/>
    <n v="45.001483679525222"/>
    <x v="3"/>
    <s v="plays"/>
    <x v="19"/>
    <d v="1974-12-04T00:30:00"/>
  </r>
  <r>
    <n v="20"/>
    <s v="Reeves, Thompson and Richardson"/>
    <s v="Proactive composite alliance"/>
    <n v="131800"/>
    <n v="147936"/>
    <x v="1"/>
    <n v="1396"/>
    <s v="US"/>
    <s v="USD"/>
    <n v="1406523600"/>
    <n v="1406523600"/>
    <b v="0"/>
    <b v="0"/>
    <s v="film &amp; video/drama"/>
    <n v="112.24279210925646"/>
    <n v="105.97134670487107"/>
    <x v="4"/>
    <s v="drama"/>
    <x v="20"/>
    <d v="1974-06-16T22:06:00"/>
  </r>
  <r>
    <n v="21"/>
    <s v="Simmons-Reynolds"/>
    <s v="Re-engineered intangible definition"/>
    <n v="94000"/>
    <n v="38533"/>
    <x v="0"/>
    <n v="558"/>
    <s v="US"/>
    <s v="USD"/>
    <n v="1313384400"/>
    <n v="1316322000"/>
    <b v="0"/>
    <b v="0"/>
    <s v="theater/plays"/>
    <n v="40.992553191489364"/>
    <n v="69.055555555555557"/>
    <x v="3"/>
    <s v="plays"/>
    <x v="21"/>
    <d v="1974-03-04T12:30:00"/>
  </r>
  <r>
    <n v="22"/>
    <s v="Collier Inc"/>
    <s v="Enhanced dynamic definition"/>
    <n v="59100"/>
    <n v="75690"/>
    <x v="1"/>
    <n v="890"/>
    <s v="US"/>
    <s v="USD"/>
    <n v="1522731600"/>
    <n v="1524027600"/>
    <b v="0"/>
    <b v="0"/>
    <s v="theater/plays"/>
    <n v="128.07106598984771"/>
    <n v="85.044943820224717"/>
    <x v="3"/>
    <s v="plays"/>
    <x v="22"/>
    <d v="1974-10-30T22:06:00"/>
  </r>
  <r>
    <n v="23"/>
    <s v="Gray-Jenkins"/>
    <s v="Devolved next generation adapter"/>
    <n v="4500"/>
    <n v="14942"/>
    <x v="1"/>
    <n v="142"/>
    <s v="GB"/>
    <s v="GBP"/>
    <n v="1550124000"/>
    <n v="1554699600"/>
    <b v="0"/>
    <b v="0"/>
    <s v="film &amp; video/documentary"/>
    <n v="332.04444444444448"/>
    <n v="105.22535211267606"/>
    <x v="4"/>
    <s v="documentary"/>
    <x v="23"/>
    <d v="1974-12-05T10:06:00"/>
  </r>
  <r>
    <n v="24"/>
    <s v="Scott, Wilson and Martin"/>
    <s v="Cross-platform intermediate frame"/>
    <n v="92400"/>
    <n v="104257"/>
    <x v="1"/>
    <n v="2673"/>
    <s v="US"/>
    <s v="USD"/>
    <n v="1403326800"/>
    <n v="1403499600"/>
    <b v="0"/>
    <b v="0"/>
    <s v="technology/wearables"/>
    <n v="112.83225108225108"/>
    <n v="39.003741114852225"/>
    <x v="2"/>
    <s v="wearables"/>
    <x v="24"/>
    <d v="1974-06-13T10:06:00"/>
  </r>
  <r>
    <n v="25"/>
    <s v="Caldwell, Velazquez and Wilson"/>
    <s v="Monitored impactful analyzer"/>
    <n v="5500"/>
    <n v="11904"/>
    <x v="1"/>
    <n v="163"/>
    <s v="US"/>
    <s v="USD"/>
    <n v="1305694800"/>
    <n v="1307422800"/>
    <b v="0"/>
    <b v="1"/>
    <s v="games/video games"/>
    <n v="216.43636363636364"/>
    <n v="73.030674846625772"/>
    <x v="6"/>
    <s v="video games"/>
    <x v="25"/>
    <d v="1974-02-22T05:18:00"/>
  </r>
  <r>
    <n v="26"/>
    <s v="Spencer-Bates"/>
    <s v="Optional responsive customer loyalty"/>
    <n v="107500"/>
    <n v="51814"/>
    <x v="3"/>
    <n v="1480"/>
    <s v="US"/>
    <s v="USD"/>
    <n v="1533013200"/>
    <n v="1535346000"/>
    <b v="0"/>
    <b v="0"/>
    <s v="theater/plays"/>
    <n v="48.199069767441863"/>
    <n v="35.009459459459457"/>
    <x v="3"/>
    <s v="plays"/>
    <x v="26"/>
    <d v="1974-11-13T00:30:00"/>
  </r>
  <r>
    <n v="27"/>
    <s v="Best, Carr and Williams"/>
    <s v="Diverse transitional migration"/>
    <n v="2000"/>
    <n v="1599"/>
    <x v="0"/>
    <n v="15"/>
    <s v="US"/>
    <s v="USD"/>
    <n v="1443848400"/>
    <n v="1444539600"/>
    <b v="0"/>
    <b v="0"/>
    <s v="music/rock"/>
    <n v="79.95"/>
    <n v="106.6"/>
    <x v="1"/>
    <s v="rock"/>
    <x v="27"/>
    <d v="1974-07-30T22:06:00"/>
  </r>
  <r>
    <n v="28"/>
    <s v="Campbell, Brown and Powell"/>
    <s v="Synchronized global task-force"/>
    <n v="130800"/>
    <n v="137635"/>
    <x v="1"/>
    <n v="2220"/>
    <s v="US"/>
    <s v="USD"/>
    <n v="1265695200"/>
    <n v="1267682400"/>
    <b v="0"/>
    <b v="1"/>
    <s v="theater/plays"/>
    <n v="105.22553516819573"/>
    <n v="61.997747747747745"/>
    <x v="3"/>
    <s v="plays"/>
    <x v="28"/>
    <d v="1974-01-07T05:24:00"/>
  </r>
  <r>
    <n v="29"/>
    <s v="Johnson, Parker and Haynes"/>
    <s v="Focused 6thgeneration forecast"/>
    <n v="45900"/>
    <n v="150965"/>
    <x v="1"/>
    <n v="1606"/>
    <s v="CH"/>
    <s v="CHF"/>
    <n v="1532062800"/>
    <n v="1535518800"/>
    <b v="0"/>
    <b v="0"/>
    <s v="film &amp; video/shorts"/>
    <n v="328.89978213507629"/>
    <n v="94.000622665006233"/>
    <x v="4"/>
    <s v="shorts"/>
    <x v="29"/>
    <d v="1974-11-13T05:18:00"/>
  </r>
  <r>
    <n v="30"/>
    <s v="Clark-Cooke"/>
    <s v="Down-sized analyzing challenge"/>
    <n v="9000"/>
    <n v="14455"/>
    <x v="1"/>
    <n v="129"/>
    <s v="US"/>
    <s v="USD"/>
    <n v="1558674000"/>
    <n v="1559106000"/>
    <b v="0"/>
    <b v="0"/>
    <s v="film &amp; video/animation"/>
    <n v="160.61111111111111"/>
    <n v="112.05426356589147"/>
    <x v="4"/>
    <s v="animation"/>
    <x v="30"/>
    <d v="1974-12-10T12:30:00"/>
  </r>
  <r>
    <n v="31"/>
    <s v="Schroeder Ltd"/>
    <s v="Progressive needs-based focus group"/>
    <n v="3500"/>
    <n v="10850"/>
    <x v="1"/>
    <n v="226"/>
    <s v="GB"/>
    <s v="GBP"/>
    <n v="1451973600"/>
    <n v="1454392800"/>
    <b v="0"/>
    <b v="0"/>
    <s v="games/video games"/>
    <n v="310"/>
    <n v="48.008849557522126"/>
    <x v="6"/>
    <s v="video games"/>
    <x v="31"/>
    <d v="1974-08-11T07:48:00"/>
  </r>
  <r>
    <n v="32"/>
    <s v="Jackson PLC"/>
    <s v="Ergonomic 6thgeneration success"/>
    <n v="101000"/>
    <n v="87676"/>
    <x v="0"/>
    <n v="2307"/>
    <s v="IT"/>
    <s v="EUR"/>
    <n v="1515564000"/>
    <n v="1517896800"/>
    <b v="0"/>
    <b v="0"/>
    <s v="film &amp; video/documentary"/>
    <n v="86.807920792079202"/>
    <n v="38.004334633723452"/>
    <x v="4"/>
    <s v="documentary"/>
    <x v="32"/>
    <d v="1974-10-23T19:48:00"/>
  </r>
  <r>
    <n v="33"/>
    <s v="Blair, Collins and Carter"/>
    <s v="Exclusive interactive approach"/>
    <n v="50200"/>
    <n v="189666"/>
    <x v="1"/>
    <n v="5419"/>
    <s v="US"/>
    <s v="USD"/>
    <n v="1412485200"/>
    <n v="1415685600"/>
    <b v="0"/>
    <b v="0"/>
    <s v="theater/plays"/>
    <n v="377.82071713147411"/>
    <n v="35.000184535892231"/>
    <x v="3"/>
    <s v="plays"/>
    <x v="33"/>
    <d v="1974-06-27T12:36:00"/>
  </r>
  <r>
    <n v="34"/>
    <s v="Maldonado and Sons"/>
    <s v="Reverse-engineered asynchronous archive"/>
    <n v="9300"/>
    <n v="14025"/>
    <x v="1"/>
    <n v="165"/>
    <s v="US"/>
    <s v="USD"/>
    <n v="1490245200"/>
    <n v="1490677200"/>
    <b v="0"/>
    <b v="0"/>
    <s v="film &amp; video/documentary"/>
    <n v="150.80645161290323"/>
    <n v="85"/>
    <x v="4"/>
    <s v="documentary"/>
    <x v="34"/>
    <d v="1974-09-22T07:42:00"/>
  </r>
  <r>
    <n v="35"/>
    <s v="Mitchell and Sons"/>
    <s v="Synergized intangible challenge"/>
    <n v="125500"/>
    <n v="188628"/>
    <x v="1"/>
    <n v="1965"/>
    <s v="DK"/>
    <s v="DKK"/>
    <n v="1547877600"/>
    <n v="1551506400"/>
    <b v="0"/>
    <b v="1"/>
    <s v="film &amp; video/drama"/>
    <n v="150.30119521912351"/>
    <n v="95.993893129770996"/>
    <x v="4"/>
    <s v="drama"/>
    <x v="35"/>
    <d v="1974-12-01T17:24:00"/>
  </r>
  <r>
    <n v="36"/>
    <s v="Jackson-Lewis"/>
    <s v="Monitored multi-state encryption"/>
    <n v="700"/>
    <n v="1101"/>
    <x v="1"/>
    <n v="16"/>
    <s v="US"/>
    <s v="USD"/>
    <n v="1298700000"/>
    <n v="1300856400"/>
    <b v="0"/>
    <b v="0"/>
    <s v="theater/plays"/>
    <n v="157.28571428571431"/>
    <n v="68.8125"/>
    <x v="3"/>
    <s v="plays"/>
    <x v="36"/>
    <d v="1974-02-14T14:54:00"/>
  </r>
  <r>
    <n v="37"/>
    <s v="Black, Armstrong and Anderson"/>
    <s v="Profound attitude-oriented functionalities"/>
    <n v="8100"/>
    <n v="11339"/>
    <x v="1"/>
    <n v="107"/>
    <s v="US"/>
    <s v="USD"/>
    <n v="1570338000"/>
    <n v="1573192800"/>
    <b v="0"/>
    <b v="1"/>
    <s v="publishing/fiction"/>
    <n v="139.98765432098764"/>
    <n v="105.97196261682242"/>
    <x v="5"/>
    <s v="fiction"/>
    <x v="37"/>
    <d v="1974-12-26T19:48:00"/>
  </r>
  <r>
    <n v="38"/>
    <s v="Maldonado-Gonzalez"/>
    <s v="Digitized client-driven database"/>
    <n v="3100"/>
    <n v="10085"/>
    <x v="1"/>
    <n v="134"/>
    <s v="US"/>
    <s v="USD"/>
    <n v="1287378000"/>
    <n v="1287810000"/>
    <b v="0"/>
    <b v="0"/>
    <s v="photography/photography books"/>
    <n v="325.32258064516128"/>
    <n v="75.261194029850742"/>
    <x v="7"/>
    <s v="photography books"/>
    <x v="38"/>
    <d v="1974-01-30T12:30:00"/>
  </r>
  <r>
    <n v="39"/>
    <s v="Kim-Rice"/>
    <s v="Organized bi-directional function"/>
    <n v="9900"/>
    <n v="5027"/>
    <x v="0"/>
    <n v="88"/>
    <s v="DK"/>
    <s v="DKK"/>
    <n v="1361772000"/>
    <n v="1362978000"/>
    <b v="0"/>
    <b v="0"/>
    <s v="theater/plays"/>
    <n v="50.777777777777779"/>
    <n v="57.125"/>
    <x v="3"/>
    <s v="plays"/>
    <x v="39"/>
    <d v="1974-04-27T12:30:00"/>
  </r>
  <r>
    <n v="40"/>
    <s v="Garcia, Garcia and Lopez"/>
    <s v="Reduced stable middleware"/>
    <n v="8800"/>
    <n v="14878"/>
    <x v="1"/>
    <n v="198"/>
    <s v="US"/>
    <s v="USD"/>
    <n v="1275714000"/>
    <n v="1277355600"/>
    <b v="0"/>
    <b v="1"/>
    <s v="technology/wearables"/>
    <n v="169.06818181818181"/>
    <n v="75.141414141414145"/>
    <x v="2"/>
    <s v="wearables"/>
    <x v="40"/>
    <d v="1974-01-18T10:06:00"/>
  </r>
  <r>
    <n v="41"/>
    <s v="Watts Group"/>
    <s v="Universal 5thgeneration neural-net"/>
    <n v="5600"/>
    <n v="11924"/>
    <x v="1"/>
    <n v="111"/>
    <s v="IT"/>
    <s v="EUR"/>
    <n v="1346734800"/>
    <n v="1348981200"/>
    <b v="0"/>
    <b v="1"/>
    <s v="music/rock"/>
    <n v="212.92857142857144"/>
    <n v="107.42342342342343"/>
    <x v="1"/>
    <s v="rock"/>
    <x v="41"/>
    <d v="1974-04-11T07:42:00"/>
  </r>
  <r>
    <n v="42"/>
    <s v="Werner-Bryant"/>
    <s v="Virtual uniform frame"/>
    <n v="1800"/>
    <n v="7991"/>
    <x v="1"/>
    <n v="222"/>
    <s v="US"/>
    <s v="USD"/>
    <n v="1309755600"/>
    <n v="1310533200"/>
    <b v="0"/>
    <b v="0"/>
    <s v="food/food trucks"/>
    <n v="443.94444444444446"/>
    <n v="35.995495495495497"/>
    <x v="0"/>
    <s v="food trucks"/>
    <x v="42"/>
    <d v="1974-02-25T19:42:00"/>
  </r>
  <r>
    <n v="43"/>
    <s v="Schmitt-Mendoza"/>
    <s v="Profound explicit paradigm"/>
    <n v="90200"/>
    <n v="167717"/>
    <x v="1"/>
    <n v="6212"/>
    <s v="US"/>
    <s v="USD"/>
    <n v="1406178000"/>
    <n v="1407560400"/>
    <b v="0"/>
    <b v="0"/>
    <s v="publishing/radio &amp; podcasts"/>
    <n v="185.9390243902439"/>
    <n v="26.998873148744366"/>
    <x v="5"/>
    <s v="radio &amp; podcasts"/>
    <x v="43"/>
    <d v="1974-06-18T02:54:00"/>
  </r>
  <r>
    <n v="44"/>
    <s v="Reid-Mccullough"/>
    <s v="Visionary real-time groupware"/>
    <n v="1600"/>
    <n v="10541"/>
    <x v="1"/>
    <n v="98"/>
    <s v="DK"/>
    <s v="DKK"/>
    <n v="1552798800"/>
    <n v="1552885200"/>
    <b v="0"/>
    <b v="0"/>
    <s v="publishing/fiction"/>
    <n v="658.8125"/>
    <n v="107.56122448979592"/>
    <x v="5"/>
    <s v="fiction"/>
    <x v="44"/>
    <d v="1974-12-03T07:42:00"/>
  </r>
  <r>
    <n v="45"/>
    <s v="Woods-Clark"/>
    <s v="Networked tertiary Graphical User Interface"/>
    <n v="9500"/>
    <n v="4530"/>
    <x v="0"/>
    <n v="48"/>
    <s v="US"/>
    <s v="USD"/>
    <n v="1478062800"/>
    <n v="1479362400"/>
    <b v="0"/>
    <b v="1"/>
    <s v="theater/plays"/>
    <n v="47.684210526315788"/>
    <n v="94.375"/>
    <x v="3"/>
    <s v="plays"/>
    <x v="45"/>
    <d v="1974-09-09T05:24:00"/>
  </r>
  <r>
    <n v="46"/>
    <s v="Vaughn, Hunt and Caldwell"/>
    <s v="Virtual grid-enabled task-force"/>
    <n v="3700"/>
    <n v="4247"/>
    <x v="1"/>
    <n v="92"/>
    <s v="US"/>
    <s v="USD"/>
    <n v="1278565200"/>
    <n v="1280552400"/>
    <b v="0"/>
    <b v="0"/>
    <s v="music/rock"/>
    <n v="114.78378378378378"/>
    <n v="46.163043478260867"/>
    <x v="1"/>
    <s v="rock"/>
    <x v="46"/>
    <d v="1974-01-22T02:54:00"/>
  </r>
  <r>
    <n v="47"/>
    <s v="Bennett and Sons"/>
    <s v="Function-based multi-state software"/>
    <n v="1500"/>
    <n v="7129"/>
    <x v="1"/>
    <n v="149"/>
    <s v="US"/>
    <s v="USD"/>
    <n v="1396069200"/>
    <n v="1398661200"/>
    <b v="0"/>
    <b v="0"/>
    <s v="theater/plays"/>
    <n v="475.26666666666665"/>
    <n v="47.845637583892618"/>
    <x v="3"/>
    <s v="plays"/>
    <x v="47"/>
    <d v="1974-06-07T19:42:00"/>
  </r>
  <r>
    <n v="48"/>
    <s v="Lamb Inc"/>
    <s v="Optimized leadingedge concept"/>
    <n v="33300"/>
    <n v="128862"/>
    <x v="1"/>
    <n v="2431"/>
    <s v="US"/>
    <s v="USD"/>
    <n v="1435208400"/>
    <n v="1436245200"/>
    <b v="0"/>
    <b v="0"/>
    <s v="theater/plays"/>
    <n v="386.97297297297297"/>
    <n v="53.007815713698065"/>
    <x v="3"/>
    <s v="plays"/>
    <x v="48"/>
    <d v="1974-07-21T07:42:00"/>
  </r>
  <r>
    <n v="49"/>
    <s v="Casey-Kelly"/>
    <s v="Sharable holistic interface"/>
    <n v="7200"/>
    <n v="13653"/>
    <x v="1"/>
    <n v="303"/>
    <s v="US"/>
    <s v="USD"/>
    <n v="1571547600"/>
    <n v="1575439200"/>
    <b v="0"/>
    <b v="0"/>
    <s v="music/rock"/>
    <n v="189.625"/>
    <n v="45.059405940594061"/>
    <x v="1"/>
    <s v="rock"/>
    <x v="49"/>
    <d v="1974-12-29T10:12:00"/>
  </r>
  <r>
    <n v="50"/>
    <s v="Jones, Taylor and Moore"/>
    <s v="Down-sized system-worthy secured line"/>
    <n v="100"/>
    <n v="2"/>
    <x v="0"/>
    <n v="1"/>
    <s v="IT"/>
    <s v="EUR"/>
    <n v="1375333200"/>
    <n v="1377752400"/>
    <b v="0"/>
    <b v="0"/>
    <s v="music/metal"/>
    <n v="2"/>
    <n v="2"/>
    <x v="1"/>
    <s v="metal"/>
    <x v="50"/>
    <d v="1974-05-14T14:54:00"/>
  </r>
  <r>
    <n v="51"/>
    <s v="Bradshaw, Gill and Donovan"/>
    <s v="Inverse secondary infrastructure"/>
    <n v="158100"/>
    <n v="145243"/>
    <x v="0"/>
    <n v="1467"/>
    <s v="GB"/>
    <s v="GBP"/>
    <n v="1332824400"/>
    <n v="1334206800"/>
    <b v="0"/>
    <b v="1"/>
    <s v="technology/wearables"/>
    <n v="91.867805186590772"/>
    <n v="99.006816632583508"/>
    <x v="2"/>
    <s v="wearables"/>
    <x v="51"/>
    <d v="1974-03-25T05:18:00"/>
  </r>
  <r>
    <n v="52"/>
    <s v="Hernandez, Rodriguez and Clark"/>
    <s v="Organic foreground leverage"/>
    <n v="7200"/>
    <n v="2459"/>
    <x v="0"/>
    <n v="75"/>
    <s v="US"/>
    <s v="USD"/>
    <n v="1284526800"/>
    <n v="1284872400"/>
    <b v="0"/>
    <b v="0"/>
    <s v="theater/plays"/>
    <n v="34.152777777777779"/>
    <n v="32.786666666666669"/>
    <x v="3"/>
    <s v="plays"/>
    <x v="52"/>
    <d v="1974-01-27T02:54:00"/>
  </r>
  <r>
    <n v="53"/>
    <s v="Smith-Jones"/>
    <s v="Reverse-engineered static concept"/>
    <n v="8800"/>
    <n v="12356"/>
    <x v="1"/>
    <n v="209"/>
    <s v="US"/>
    <s v="USD"/>
    <n v="1400562000"/>
    <n v="1403931600"/>
    <b v="0"/>
    <b v="0"/>
    <s v="film &amp; video/drama"/>
    <n v="140.40909090909091"/>
    <n v="59.119617224880386"/>
    <x v="4"/>
    <s v="drama"/>
    <x v="53"/>
    <d v="1974-06-13T22:06:00"/>
  </r>
  <r>
    <n v="54"/>
    <s v="Roy PLC"/>
    <s v="Multi-channeled neutral customer loyalty"/>
    <n v="6000"/>
    <n v="5392"/>
    <x v="0"/>
    <n v="120"/>
    <s v="US"/>
    <s v="USD"/>
    <n v="1520748000"/>
    <n v="1521262800"/>
    <b v="0"/>
    <b v="0"/>
    <s v="technology/wearables"/>
    <n v="89.86666666666666"/>
    <n v="44.93333333333333"/>
    <x v="2"/>
    <s v="wearables"/>
    <x v="54"/>
    <d v="1974-10-27T17:18:00"/>
  </r>
  <r>
    <n v="55"/>
    <s v="Wright, Brooks and Villarreal"/>
    <s v="Reverse-engineered bifurcated strategy"/>
    <n v="6600"/>
    <n v="11746"/>
    <x v="1"/>
    <n v="131"/>
    <s v="US"/>
    <s v="USD"/>
    <n v="1532926800"/>
    <n v="1533358800"/>
    <b v="0"/>
    <b v="0"/>
    <s v="music/jazz"/>
    <n v="177.96969696969697"/>
    <n v="89.664122137404576"/>
    <x v="1"/>
    <s v="jazz"/>
    <x v="55"/>
    <d v="1974-11-10T17:18:00"/>
  </r>
  <r>
    <n v="56"/>
    <s v="Flores, Miller and Johnson"/>
    <s v="Horizontal context-sensitive knowledge user"/>
    <n v="8000"/>
    <n v="11493"/>
    <x v="1"/>
    <n v="164"/>
    <s v="US"/>
    <s v="USD"/>
    <n v="1420869600"/>
    <n v="1421474400"/>
    <b v="0"/>
    <b v="0"/>
    <s v="technology/wearables"/>
    <n v="143.66249999999999"/>
    <n v="70.079268292682926"/>
    <x v="2"/>
    <s v="wearables"/>
    <x v="56"/>
    <d v="1974-07-04T05:24:00"/>
  </r>
  <r>
    <n v="57"/>
    <s v="Bridges, Freeman and Kim"/>
    <s v="Cross-group multi-state task-force"/>
    <n v="2900"/>
    <n v="6243"/>
    <x v="1"/>
    <n v="201"/>
    <s v="US"/>
    <s v="USD"/>
    <n v="1504242000"/>
    <n v="1505278800"/>
    <b v="0"/>
    <b v="0"/>
    <s v="games/video games"/>
    <n v="215.27586206896552"/>
    <n v="31.059701492537314"/>
    <x v="6"/>
    <s v="video games"/>
    <x v="57"/>
    <d v="1974-10-09T05:18:00"/>
  </r>
  <r>
    <n v="58"/>
    <s v="Anderson-Perez"/>
    <s v="Expanded 3rdgeneration strategy"/>
    <n v="2700"/>
    <n v="6132"/>
    <x v="1"/>
    <n v="211"/>
    <s v="US"/>
    <s v="USD"/>
    <n v="1442811600"/>
    <n v="1443934800"/>
    <b v="0"/>
    <b v="0"/>
    <s v="theater/plays"/>
    <n v="227.11111111111114"/>
    <n v="29.061611374407583"/>
    <x v="3"/>
    <s v="plays"/>
    <x v="58"/>
    <d v="1974-07-30T05:18:00"/>
  </r>
  <r>
    <n v="59"/>
    <s v="Wright, Fox and Marks"/>
    <s v="Assimilated real-time support"/>
    <n v="1400"/>
    <n v="3851"/>
    <x v="1"/>
    <n v="128"/>
    <s v="US"/>
    <s v="USD"/>
    <n v="1497243600"/>
    <n v="1498539600"/>
    <b v="0"/>
    <b v="1"/>
    <s v="theater/plays"/>
    <n v="275.07142857142861"/>
    <n v="30.0859375"/>
    <x v="3"/>
    <s v="plays"/>
    <x v="59"/>
    <d v="1974-10-01T10:06:00"/>
  </r>
  <r>
    <n v="60"/>
    <s v="Crawford-Peters"/>
    <s v="User-centric regional database"/>
    <n v="94200"/>
    <n v="135997"/>
    <x v="1"/>
    <n v="1600"/>
    <s v="CA"/>
    <s v="CAD"/>
    <n v="1342501200"/>
    <n v="1342760400"/>
    <b v="0"/>
    <b v="0"/>
    <s v="theater/plays"/>
    <n v="144.37048832271762"/>
    <n v="84.998125000000002"/>
    <x v="3"/>
    <s v="plays"/>
    <x v="60"/>
    <d v="1974-04-04T02:54:00"/>
  </r>
  <r>
    <n v="61"/>
    <s v="Romero-Hoffman"/>
    <s v="Open-source zero administration complexity"/>
    <n v="199200"/>
    <n v="184750"/>
    <x v="0"/>
    <n v="2253"/>
    <s v="CA"/>
    <s v="CAD"/>
    <n v="1298268000"/>
    <n v="1301720400"/>
    <b v="0"/>
    <b v="0"/>
    <s v="theater/plays"/>
    <n v="92.74598393574297"/>
    <n v="82.001775410563695"/>
    <x v="3"/>
    <s v="plays"/>
    <x v="61"/>
    <d v="1974-02-15T14:54:00"/>
  </r>
  <r>
    <n v="62"/>
    <s v="Sparks-West"/>
    <s v="Organized incremental standardization"/>
    <n v="2000"/>
    <n v="14452"/>
    <x v="1"/>
    <n v="249"/>
    <s v="US"/>
    <s v="USD"/>
    <n v="1433480400"/>
    <n v="1433566800"/>
    <b v="0"/>
    <b v="0"/>
    <s v="technology/web"/>
    <n v="722.6"/>
    <n v="58.040160642570278"/>
    <x v="2"/>
    <s v="web"/>
    <x v="62"/>
    <d v="1974-07-18T05:18:00"/>
  </r>
  <r>
    <n v="63"/>
    <s v="Baker, Morgan and Brown"/>
    <s v="Assimilated didactic open system"/>
    <n v="4700"/>
    <n v="557"/>
    <x v="0"/>
    <n v="5"/>
    <s v="US"/>
    <s v="USD"/>
    <n v="1493355600"/>
    <n v="1493874000"/>
    <b v="0"/>
    <b v="0"/>
    <s v="theater/plays"/>
    <n v="11.851063829787234"/>
    <n v="111.4"/>
    <x v="3"/>
    <s v="plays"/>
    <x v="63"/>
    <d v="1974-09-26T00:30:00"/>
  </r>
  <r>
    <n v="64"/>
    <s v="Mosley-Gilbert"/>
    <s v="Vision-oriented logistical intranet"/>
    <n v="2800"/>
    <n v="2734"/>
    <x v="0"/>
    <n v="38"/>
    <s v="US"/>
    <s v="USD"/>
    <n v="1530507600"/>
    <n v="1531803600"/>
    <b v="0"/>
    <b v="1"/>
    <s v="technology/web"/>
    <n v="97.642857142857139"/>
    <n v="71.94736842105263"/>
    <x v="2"/>
    <s v="web"/>
    <x v="64"/>
    <d v="1974-11-08T22:06:00"/>
  </r>
  <r>
    <n v="65"/>
    <s v="Berry-Boyer"/>
    <s v="Mandatory incremental projection"/>
    <n v="6100"/>
    <n v="14405"/>
    <x v="1"/>
    <n v="236"/>
    <s v="US"/>
    <s v="USD"/>
    <n v="1296108000"/>
    <n v="1296712800"/>
    <b v="0"/>
    <b v="0"/>
    <s v="theater/plays"/>
    <n v="236.14754098360655"/>
    <n v="61.038135593220339"/>
    <x v="3"/>
    <s v="plays"/>
    <x v="65"/>
    <d v="1974-02-09T19:48:00"/>
  </r>
  <r>
    <n v="66"/>
    <s v="Sanders-Allen"/>
    <s v="Grass-roots needs-based encryption"/>
    <n v="2900"/>
    <n v="1307"/>
    <x v="0"/>
    <n v="12"/>
    <s v="US"/>
    <s v="USD"/>
    <n v="1428469200"/>
    <n v="1428901200"/>
    <b v="0"/>
    <b v="1"/>
    <s v="theater/plays"/>
    <n v="45.068965517241381"/>
    <n v="108.91666666666667"/>
    <x v="3"/>
    <s v="plays"/>
    <x v="66"/>
    <d v="1974-07-12T19:42:00"/>
  </r>
  <r>
    <n v="67"/>
    <s v="Lopez Inc"/>
    <s v="Team-oriented 6thgeneration middleware"/>
    <n v="72600"/>
    <n v="117892"/>
    <x v="1"/>
    <n v="4065"/>
    <s v="GB"/>
    <s v="GBP"/>
    <n v="1264399200"/>
    <n v="1264831200"/>
    <b v="0"/>
    <b v="1"/>
    <s v="technology/wearables"/>
    <n v="162.38567493112947"/>
    <n v="29.001722017220171"/>
    <x v="2"/>
    <s v="wearables"/>
    <x v="67"/>
    <d v="1974-01-03T22:12:00"/>
  </r>
  <r>
    <n v="68"/>
    <s v="Moreno-Turner"/>
    <s v="Inverse multi-tasking installation"/>
    <n v="5700"/>
    <n v="14508"/>
    <x v="1"/>
    <n v="246"/>
    <s v="IT"/>
    <s v="EUR"/>
    <n v="1501131600"/>
    <n v="1505192400"/>
    <b v="0"/>
    <b v="1"/>
    <s v="theater/plays"/>
    <n v="254.52631578947367"/>
    <n v="58.975609756097562"/>
    <x v="3"/>
    <s v="plays"/>
    <x v="68"/>
    <d v="1974-10-09T02:54:00"/>
  </r>
  <r>
    <n v="69"/>
    <s v="Jones-Watson"/>
    <s v="Switchable disintermediate moderator"/>
    <n v="7900"/>
    <n v="1901"/>
    <x v="3"/>
    <n v="17"/>
    <s v="US"/>
    <s v="USD"/>
    <n v="1292738400"/>
    <n v="1295676000"/>
    <b v="0"/>
    <b v="0"/>
    <s v="theater/plays"/>
    <n v="24.063291139240505"/>
    <n v="111.82352941176471"/>
    <x v="3"/>
    <s v="plays"/>
    <x v="69"/>
    <d v="1974-02-08T15:00:00"/>
  </r>
  <r>
    <n v="70"/>
    <s v="Barker Inc"/>
    <s v="Re-engineered 24/7 task-force"/>
    <n v="128000"/>
    <n v="158389"/>
    <x v="1"/>
    <n v="2475"/>
    <s v="IT"/>
    <s v="EUR"/>
    <n v="1288674000"/>
    <n v="1292911200"/>
    <b v="0"/>
    <b v="1"/>
    <s v="theater/plays"/>
    <n v="123.74140625000001"/>
    <n v="63.995555555555555"/>
    <x v="3"/>
    <s v="plays"/>
    <x v="70"/>
    <d v="1974-02-05T10:12:00"/>
  </r>
  <r>
    <n v="71"/>
    <s v="Tate, Bass and House"/>
    <s v="Organic object-oriented budgetary management"/>
    <n v="6000"/>
    <n v="6484"/>
    <x v="1"/>
    <n v="76"/>
    <s v="US"/>
    <s v="USD"/>
    <n v="1575093600"/>
    <n v="1575439200"/>
    <b v="0"/>
    <b v="0"/>
    <s v="theater/plays"/>
    <n v="108.06666666666666"/>
    <n v="85.315789473684205"/>
    <x v="3"/>
    <s v="plays"/>
    <x v="71"/>
    <d v="1974-12-29T10:12:00"/>
  </r>
  <r>
    <n v="72"/>
    <s v="Hampton, Lewis and Ray"/>
    <s v="Seamless coherent parallelism"/>
    <n v="600"/>
    <n v="4022"/>
    <x v="1"/>
    <n v="54"/>
    <s v="US"/>
    <s v="USD"/>
    <n v="1435726800"/>
    <n v="1438837200"/>
    <b v="0"/>
    <b v="0"/>
    <s v="film &amp; video/animation"/>
    <n v="670.33333333333326"/>
    <n v="74.481481481481481"/>
    <x v="4"/>
    <s v="animation"/>
    <x v="72"/>
    <d v="1974-07-24T07:42:00"/>
  </r>
  <r>
    <n v="73"/>
    <s v="Collins-Goodman"/>
    <s v="Cross-platform even-keeled initiative"/>
    <n v="1400"/>
    <n v="9253"/>
    <x v="1"/>
    <n v="88"/>
    <s v="US"/>
    <s v="USD"/>
    <n v="1480226400"/>
    <n v="1480485600"/>
    <b v="0"/>
    <b v="0"/>
    <s v="music/jazz"/>
    <n v="660.92857142857144"/>
    <n v="105.14772727272727"/>
    <x v="1"/>
    <s v="jazz"/>
    <x v="73"/>
    <d v="1974-09-10T12:36:00"/>
  </r>
  <r>
    <n v="74"/>
    <s v="Davis-Michael"/>
    <s v="Progressive tertiary framework"/>
    <n v="3900"/>
    <n v="4776"/>
    <x v="1"/>
    <n v="85"/>
    <s v="GB"/>
    <s v="GBP"/>
    <n v="1459054800"/>
    <n v="1459141200"/>
    <b v="0"/>
    <b v="0"/>
    <s v="music/metal"/>
    <n v="122.46153846153847"/>
    <n v="56.188235294117646"/>
    <x v="1"/>
    <s v="metal"/>
    <x v="74"/>
    <d v="1974-08-16T19:42:00"/>
  </r>
  <r>
    <n v="75"/>
    <s v="White, Torres and Bishop"/>
    <s v="Multi-layered dynamic protocol"/>
    <n v="9700"/>
    <n v="14606"/>
    <x v="1"/>
    <n v="170"/>
    <s v="US"/>
    <s v="USD"/>
    <n v="1531630800"/>
    <n v="1532322000"/>
    <b v="0"/>
    <b v="0"/>
    <s v="photography/photography books"/>
    <n v="150.57731958762886"/>
    <n v="85.917647058823533"/>
    <x v="7"/>
    <s v="photography books"/>
    <x v="75"/>
    <d v="1974-11-09T12:30:00"/>
  </r>
  <r>
    <n v="76"/>
    <s v="Martin, Conway and Larsen"/>
    <s v="Horizontal next generation function"/>
    <n v="122900"/>
    <n v="95993"/>
    <x v="0"/>
    <n v="1684"/>
    <s v="US"/>
    <s v="USD"/>
    <n v="1421992800"/>
    <n v="1426222800"/>
    <b v="1"/>
    <b v="1"/>
    <s v="theater/plays"/>
    <n v="78.106590724165997"/>
    <n v="57.00296912114014"/>
    <x v="3"/>
    <s v="plays"/>
    <x v="76"/>
    <d v="1974-07-09T17:18:00"/>
  </r>
  <r>
    <n v="77"/>
    <s v="Acevedo-Huffman"/>
    <s v="Pre-emptive impactful model"/>
    <n v="9500"/>
    <n v="4460"/>
    <x v="0"/>
    <n v="56"/>
    <s v="US"/>
    <s v="USD"/>
    <n v="1285563600"/>
    <n v="1286773200"/>
    <b v="0"/>
    <b v="1"/>
    <s v="film &amp; video/animation"/>
    <n v="46.94736842105263"/>
    <n v="79.642857142857139"/>
    <x v="4"/>
    <s v="animation"/>
    <x v="77"/>
    <d v="1974-01-29T07:42:00"/>
  </r>
  <r>
    <n v="78"/>
    <s v="Montgomery, Larson and Spencer"/>
    <s v="User-centric bifurcated knowledge user"/>
    <n v="4500"/>
    <n v="13536"/>
    <x v="1"/>
    <n v="330"/>
    <s v="US"/>
    <s v="USD"/>
    <n v="1523854800"/>
    <n v="1523941200"/>
    <b v="0"/>
    <b v="0"/>
    <s v="publishing/translations"/>
    <n v="300.8"/>
    <n v="41.018181818181816"/>
    <x v="5"/>
    <s v="translations"/>
    <x v="78"/>
    <d v="1974-10-30T19:42:00"/>
  </r>
  <r>
    <n v="79"/>
    <s v="Soto LLC"/>
    <s v="Triple-buffered reciprocal project"/>
    <n v="57800"/>
    <n v="40228"/>
    <x v="0"/>
    <n v="838"/>
    <s v="US"/>
    <s v="USD"/>
    <n v="1529125200"/>
    <n v="1529557200"/>
    <b v="0"/>
    <b v="0"/>
    <s v="theater/plays"/>
    <n v="69.598615916955026"/>
    <n v="48.004773269689736"/>
    <x v="3"/>
    <s v="plays"/>
    <x v="79"/>
    <d v="1974-11-06T07:42:00"/>
  </r>
  <r>
    <n v="80"/>
    <s v="Sutton, Barrett and Tucker"/>
    <s v="Cross-platform needs-based approach"/>
    <n v="1100"/>
    <n v="7012"/>
    <x v="1"/>
    <n v="127"/>
    <s v="US"/>
    <s v="USD"/>
    <n v="1503982800"/>
    <n v="1506574800"/>
    <b v="0"/>
    <b v="0"/>
    <s v="games/video games"/>
    <n v="637.4545454545455"/>
    <n v="55.212598425196852"/>
    <x v="6"/>
    <s v="video games"/>
    <x v="80"/>
    <d v="1974-10-10T17:18:00"/>
  </r>
  <r>
    <n v="81"/>
    <s v="Gomez, Bailey and Flores"/>
    <s v="User-friendly static contingency"/>
    <n v="16800"/>
    <n v="37857"/>
    <x v="1"/>
    <n v="411"/>
    <s v="US"/>
    <s v="USD"/>
    <n v="1511416800"/>
    <n v="1513576800"/>
    <b v="0"/>
    <b v="0"/>
    <s v="music/rock"/>
    <n v="225.33928571428569"/>
    <n v="92.109489051094897"/>
    <x v="1"/>
    <s v="rock"/>
    <x v="81"/>
    <d v="1974-10-18T19:48:00"/>
  </r>
  <r>
    <n v="82"/>
    <s v="Porter-George"/>
    <s v="Reactive content-based framework"/>
    <n v="1000"/>
    <n v="14973"/>
    <x v="1"/>
    <n v="180"/>
    <s v="GB"/>
    <s v="GBP"/>
    <n v="1547704800"/>
    <n v="1548309600"/>
    <b v="0"/>
    <b v="1"/>
    <s v="games/video games"/>
    <n v="1497.3000000000002"/>
    <n v="83.183333333333337"/>
    <x v="6"/>
    <s v="video games"/>
    <x v="82"/>
    <d v="1974-11-28T00:36:00"/>
  </r>
  <r>
    <n v="83"/>
    <s v="Fitzgerald PLC"/>
    <s v="Realigned user-facing concept"/>
    <n v="106400"/>
    <n v="39996"/>
    <x v="0"/>
    <n v="1000"/>
    <s v="US"/>
    <s v="USD"/>
    <n v="1469682000"/>
    <n v="1471582800"/>
    <b v="0"/>
    <b v="0"/>
    <s v="music/electric music"/>
    <n v="37.590225563909776"/>
    <n v="39.996000000000002"/>
    <x v="1"/>
    <s v="electric music"/>
    <x v="83"/>
    <d v="1974-08-31T05:18:00"/>
  </r>
  <r>
    <n v="84"/>
    <s v="Cisneros-Burton"/>
    <s v="Public-key zero tolerance orchestration"/>
    <n v="31400"/>
    <n v="41564"/>
    <x v="1"/>
    <n v="374"/>
    <s v="US"/>
    <s v="USD"/>
    <n v="1343451600"/>
    <n v="1344315600"/>
    <b v="0"/>
    <b v="0"/>
    <s v="technology/wearables"/>
    <n v="132.36942675159236"/>
    <n v="111.1336898395722"/>
    <x v="2"/>
    <s v="wearables"/>
    <x v="84"/>
    <d v="1974-04-05T22:06:00"/>
  </r>
  <r>
    <n v="85"/>
    <s v="Hill, Lawson and Wilkinson"/>
    <s v="Multi-tiered eco-centric architecture"/>
    <n v="4900"/>
    <n v="6430"/>
    <x v="1"/>
    <n v="71"/>
    <s v="AU"/>
    <s v="AUD"/>
    <n v="1315717200"/>
    <n v="1316408400"/>
    <b v="0"/>
    <b v="0"/>
    <s v="music/indie rock"/>
    <n v="131.22448979591837"/>
    <n v="90.563380281690144"/>
    <x v="1"/>
    <s v="indie rock"/>
    <x v="85"/>
    <d v="1974-03-04T14:54:00"/>
  </r>
  <r>
    <n v="86"/>
    <s v="Davis-Smith"/>
    <s v="Organic motivating firmware"/>
    <n v="7400"/>
    <n v="12405"/>
    <x v="1"/>
    <n v="203"/>
    <s v="US"/>
    <s v="USD"/>
    <n v="1430715600"/>
    <n v="1431838800"/>
    <b v="1"/>
    <b v="0"/>
    <s v="theater/plays"/>
    <n v="167.63513513513513"/>
    <n v="61.108374384236456"/>
    <x v="3"/>
    <s v="plays"/>
    <x v="86"/>
    <d v="1974-07-16T05:18:00"/>
  </r>
  <r>
    <n v="87"/>
    <s v="Farrell and Sons"/>
    <s v="Synergized 4thgeneration conglomeration"/>
    <n v="198500"/>
    <n v="123040"/>
    <x v="0"/>
    <n v="1482"/>
    <s v="AU"/>
    <s v="AUD"/>
    <n v="1299564000"/>
    <n v="1300510800"/>
    <b v="0"/>
    <b v="1"/>
    <s v="music/rock"/>
    <n v="61.984886649874063"/>
    <n v="83.022941970310384"/>
    <x v="1"/>
    <s v="rock"/>
    <x v="87"/>
    <d v="1974-02-14T05:18:00"/>
  </r>
  <r>
    <n v="88"/>
    <s v="Clark Group"/>
    <s v="Grass-roots fault-tolerant policy"/>
    <n v="4800"/>
    <n v="12516"/>
    <x v="1"/>
    <n v="113"/>
    <s v="US"/>
    <s v="USD"/>
    <n v="1429160400"/>
    <n v="1431061200"/>
    <b v="0"/>
    <b v="0"/>
    <s v="publishing/translations"/>
    <n v="260.75"/>
    <n v="110.76106194690266"/>
    <x v="5"/>
    <s v="translations"/>
    <x v="88"/>
    <d v="1974-07-15T07:42:00"/>
  </r>
  <r>
    <n v="89"/>
    <s v="White, Singleton and Zimmerman"/>
    <s v="Monitored scalable knowledgebase"/>
    <n v="3400"/>
    <n v="8588"/>
    <x v="1"/>
    <n v="96"/>
    <s v="US"/>
    <s v="USD"/>
    <n v="1271307600"/>
    <n v="1271480400"/>
    <b v="0"/>
    <b v="0"/>
    <s v="theater/plays"/>
    <n v="252.58823529411765"/>
    <n v="89.458333333333329"/>
    <x v="3"/>
    <s v="plays"/>
    <x v="89"/>
    <d v="1974-01-11T14:54:00"/>
  </r>
  <r>
    <n v="90"/>
    <s v="Kramer Group"/>
    <s v="Synergistic explicit parallelism"/>
    <n v="7800"/>
    <n v="6132"/>
    <x v="0"/>
    <n v="106"/>
    <s v="US"/>
    <s v="USD"/>
    <n v="1456380000"/>
    <n v="1456380000"/>
    <b v="0"/>
    <b v="1"/>
    <s v="theater/plays"/>
    <n v="78.615384615384613"/>
    <n v="57.849056603773583"/>
    <x v="3"/>
    <s v="plays"/>
    <x v="90"/>
    <d v="1974-08-13T15:00:00"/>
  </r>
  <r>
    <n v="91"/>
    <s v="Frazier, Patrick and Smith"/>
    <s v="Enhanced systemic analyzer"/>
    <n v="154300"/>
    <n v="74688"/>
    <x v="0"/>
    <n v="679"/>
    <s v="IT"/>
    <s v="EUR"/>
    <n v="1470459600"/>
    <n v="1472878800"/>
    <b v="0"/>
    <b v="0"/>
    <s v="publishing/translations"/>
    <n v="48.404406999351913"/>
    <n v="109.99705449189985"/>
    <x v="5"/>
    <s v="translations"/>
    <x v="91"/>
    <d v="1974-09-01T17:18:00"/>
  </r>
  <r>
    <n v="92"/>
    <s v="Santos, Bell and Lloyd"/>
    <s v="Object-based analyzing knowledge user"/>
    <n v="20000"/>
    <n v="51775"/>
    <x v="1"/>
    <n v="498"/>
    <s v="CH"/>
    <s v="CHF"/>
    <n v="1277269200"/>
    <n v="1277355600"/>
    <b v="0"/>
    <b v="1"/>
    <s v="games/video games"/>
    <n v="258.875"/>
    <n v="103.96586345381526"/>
    <x v="6"/>
    <s v="video games"/>
    <x v="92"/>
    <d v="1974-01-18T10:06:00"/>
  </r>
  <r>
    <n v="93"/>
    <s v="Hall and Sons"/>
    <s v="Pre-emptive radical architecture"/>
    <n v="108800"/>
    <n v="65877"/>
    <x v="3"/>
    <n v="610"/>
    <s v="US"/>
    <s v="USD"/>
    <n v="1350709200"/>
    <n v="1351054800"/>
    <b v="0"/>
    <b v="1"/>
    <s v="theater/plays"/>
    <n v="60.548713235294116"/>
    <n v="107.99508196721311"/>
    <x v="3"/>
    <s v="plays"/>
    <x v="93"/>
    <d v="1974-04-13T17:18:00"/>
  </r>
  <r>
    <n v="94"/>
    <s v="Hanson Inc"/>
    <s v="Grass-roots web-enabled contingency"/>
    <n v="2900"/>
    <n v="8807"/>
    <x v="1"/>
    <n v="180"/>
    <s v="GB"/>
    <s v="GBP"/>
    <n v="1554613200"/>
    <n v="1555563600"/>
    <b v="0"/>
    <b v="0"/>
    <s v="technology/web"/>
    <n v="303.68965517241378"/>
    <n v="48.927777777777777"/>
    <x v="2"/>
    <s v="web"/>
    <x v="94"/>
    <d v="1974-12-06T10:06:00"/>
  </r>
  <r>
    <n v="95"/>
    <s v="Sanchez LLC"/>
    <s v="Stand-alone system-worthy standardization"/>
    <n v="900"/>
    <n v="1017"/>
    <x v="1"/>
    <n v="27"/>
    <s v="US"/>
    <s v="USD"/>
    <n v="1571029200"/>
    <n v="1571634000"/>
    <b v="0"/>
    <b v="0"/>
    <s v="film &amp; video/documentary"/>
    <n v="112.99999999999999"/>
    <n v="37.666666666666664"/>
    <x v="4"/>
    <s v="documentary"/>
    <x v="95"/>
    <d v="1974-12-25T00:30:00"/>
  </r>
  <r>
    <n v="96"/>
    <s v="Howard Ltd"/>
    <s v="Down-sized systematic policy"/>
    <n v="69700"/>
    <n v="151513"/>
    <x v="1"/>
    <n v="2331"/>
    <s v="US"/>
    <s v="USD"/>
    <n v="1299736800"/>
    <n v="1300856400"/>
    <b v="0"/>
    <b v="0"/>
    <s v="theater/plays"/>
    <n v="217.37876614060258"/>
    <n v="64.999141999141997"/>
    <x v="3"/>
    <s v="plays"/>
    <x v="96"/>
    <d v="1974-02-14T14:54:00"/>
  </r>
  <r>
    <n v="97"/>
    <s v="Stewart LLC"/>
    <s v="Cloned bi-directional architecture"/>
    <n v="1300"/>
    <n v="12047"/>
    <x v="1"/>
    <n v="113"/>
    <s v="US"/>
    <s v="USD"/>
    <n v="1435208400"/>
    <n v="1439874000"/>
    <b v="0"/>
    <b v="0"/>
    <s v="food/food trucks"/>
    <n v="926.69230769230762"/>
    <n v="106.61061946902655"/>
    <x v="0"/>
    <s v="food trucks"/>
    <x v="48"/>
    <d v="1974-07-25T12:30:00"/>
  </r>
  <r>
    <n v="98"/>
    <s v="Arias, Allen and Miller"/>
    <s v="Seamless transitional portal"/>
    <n v="97800"/>
    <n v="32951"/>
    <x v="0"/>
    <n v="1220"/>
    <s v="AU"/>
    <s v="AUD"/>
    <n v="1437973200"/>
    <n v="1438318800"/>
    <b v="0"/>
    <b v="0"/>
    <s v="games/video games"/>
    <n v="33.692229038854805"/>
    <n v="27.009016393442622"/>
    <x v="6"/>
    <s v="video games"/>
    <x v="97"/>
    <d v="1974-07-23T17:18:00"/>
  </r>
  <r>
    <n v="99"/>
    <s v="Baker-Morris"/>
    <s v="Fully-configurable motivating approach"/>
    <n v="7600"/>
    <n v="14951"/>
    <x v="1"/>
    <n v="164"/>
    <s v="US"/>
    <s v="USD"/>
    <n v="1416895200"/>
    <n v="1419400800"/>
    <b v="0"/>
    <b v="0"/>
    <s v="theater/plays"/>
    <n v="196.7236842105263"/>
    <n v="91.16463414634147"/>
    <x v="3"/>
    <s v="plays"/>
    <x v="98"/>
    <d v="1974-07-01T19:48:00"/>
  </r>
  <r>
    <n v="100"/>
    <s v="Tucker, Fox and Green"/>
    <s v="Upgradable fault-tolerant approach"/>
    <n v="100"/>
    <n v="1"/>
    <x v="0"/>
    <n v="1"/>
    <s v="US"/>
    <s v="USD"/>
    <n v="1319000400"/>
    <n v="1320555600"/>
    <b v="0"/>
    <b v="0"/>
    <s v="theater/plays"/>
    <n v="1"/>
    <n v="1"/>
    <x v="3"/>
    <s v="plays"/>
    <x v="99"/>
    <d v="1974-03-09T10:06:00"/>
  </r>
  <r>
    <n v="101"/>
    <s v="Douglas LLC"/>
    <s v="Reduced heuristic moratorium"/>
    <n v="900"/>
    <n v="9193"/>
    <x v="1"/>
    <n v="164"/>
    <s v="US"/>
    <s v="USD"/>
    <n v="1424498400"/>
    <n v="1425103200"/>
    <b v="0"/>
    <b v="1"/>
    <s v="music/electric music"/>
    <n v="1021.4444444444445"/>
    <n v="56.054878048780488"/>
    <x v="1"/>
    <s v="electric music"/>
    <x v="100"/>
    <d v="1974-07-08T10:12:00"/>
  </r>
  <r>
    <n v="102"/>
    <s v="Garcia Inc"/>
    <s v="Front-line web-enabled model"/>
    <n v="3700"/>
    <n v="10422"/>
    <x v="1"/>
    <n v="336"/>
    <s v="US"/>
    <s v="USD"/>
    <n v="1526274000"/>
    <n v="1526878800"/>
    <b v="0"/>
    <b v="1"/>
    <s v="technology/wearables"/>
    <n v="281.67567567567568"/>
    <n v="31.017857142857142"/>
    <x v="2"/>
    <s v="wearables"/>
    <x v="101"/>
    <d v="1974-11-03T05:18:00"/>
  </r>
  <r>
    <n v="103"/>
    <s v="Frye, Hunt and Powell"/>
    <s v="Polarized incremental emulation"/>
    <n v="10000"/>
    <n v="2461"/>
    <x v="0"/>
    <n v="37"/>
    <s v="IT"/>
    <s v="EUR"/>
    <n v="1287896400"/>
    <n v="1288674000"/>
    <b v="0"/>
    <b v="0"/>
    <s v="music/electric music"/>
    <n v="24.610000000000003"/>
    <n v="66.513513513513516"/>
    <x v="1"/>
    <s v="electric music"/>
    <x v="102"/>
    <d v="1974-01-31T12:30:00"/>
  </r>
  <r>
    <n v="104"/>
    <s v="Smith, Wells and Nguyen"/>
    <s v="Self-enabling grid-enabled initiative"/>
    <n v="119200"/>
    <n v="170623"/>
    <x v="1"/>
    <n v="1917"/>
    <s v="US"/>
    <s v="USD"/>
    <n v="1495515600"/>
    <n v="1495602000"/>
    <b v="0"/>
    <b v="0"/>
    <s v="music/indie rock"/>
    <n v="143.14010067114094"/>
    <n v="89.005216484089729"/>
    <x v="1"/>
    <s v="indie rock"/>
    <x v="103"/>
    <d v="1974-09-28T00:30:00"/>
  </r>
  <r>
    <n v="105"/>
    <s v="Charles-Johnson"/>
    <s v="Total fresh-thinking system engine"/>
    <n v="6800"/>
    <n v="9829"/>
    <x v="1"/>
    <n v="95"/>
    <s v="US"/>
    <s v="USD"/>
    <n v="1364878800"/>
    <n v="1366434000"/>
    <b v="0"/>
    <b v="0"/>
    <s v="technology/web"/>
    <n v="144.54411764705884"/>
    <n v="103.46315789473684"/>
    <x v="2"/>
    <s v="web"/>
    <x v="104"/>
    <d v="1974-05-01T12:30:00"/>
  </r>
  <r>
    <n v="106"/>
    <s v="Brandt, Carter and Wood"/>
    <s v="Ameliorated clear-thinking circuit"/>
    <n v="3900"/>
    <n v="14006"/>
    <x v="1"/>
    <n v="147"/>
    <s v="US"/>
    <s v="USD"/>
    <n v="1567918800"/>
    <n v="1568350800"/>
    <b v="0"/>
    <b v="0"/>
    <s v="theater/plays"/>
    <n v="359.12820512820514"/>
    <n v="95.278911564625844"/>
    <x v="3"/>
    <s v="plays"/>
    <x v="105"/>
    <d v="1974-12-21T05:18:00"/>
  </r>
  <r>
    <n v="107"/>
    <s v="Tucker, Schmidt and Reid"/>
    <s v="Multi-layered encompassing installation"/>
    <n v="3500"/>
    <n v="6527"/>
    <x v="1"/>
    <n v="86"/>
    <s v="US"/>
    <s v="USD"/>
    <n v="1524459600"/>
    <n v="1525928400"/>
    <b v="0"/>
    <b v="1"/>
    <s v="theater/plays"/>
    <n v="186.48571428571427"/>
    <n v="75.895348837209298"/>
    <x v="3"/>
    <s v="plays"/>
    <x v="106"/>
    <d v="1974-11-02T02:54:00"/>
  </r>
  <r>
    <n v="108"/>
    <s v="Decker Inc"/>
    <s v="Universal encompassing implementation"/>
    <n v="1500"/>
    <n v="8929"/>
    <x v="1"/>
    <n v="83"/>
    <s v="US"/>
    <s v="USD"/>
    <n v="1333688400"/>
    <n v="1336885200"/>
    <b v="0"/>
    <b v="0"/>
    <s v="film &amp; video/documentary"/>
    <n v="595.26666666666665"/>
    <n v="107.57831325301204"/>
    <x v="4"/>
    <s v="documentary"/>
    <x v="107"/>
    <d v="1974-03-28T07:42:00"/>
  </r>
  <r>
    <n v="109"/>
    <s v="Romero and Sons"/>
    <s v="Object-based client-server application"/>
    <n v="5200"/>
    <n v="3079"/>
    <x v="0"/>
    <n v="60"/>
    <s v="US"/>
    <s v="USD"/>
    <n v="1389506400"/>
    <n v="1389679200"/>
    <b v="0"/>
    <b v="0"/>
    <s v="film &amp; video/television"/>
    <n v="59.21153846153846"/>
    <n v="51.31666666666667"/>
    <x v="4"/>
    <s v="television"/>
    <x v="108"/>
    <d v="1974-05-28T10:12:00"/>
  </r>
  <r>
    <n v="110"/>
    <s v="Castillo-Carey"/>
    <s v="Cross-platform solution-oriented process improvement"/>
    <n v="142400"/>
    <n v="21307"/>
    <x v="0"/>
    <n v="296"/>
    <s v="US"/>
    <s v="USD"/>
    <n v="1536642000"/>
    <n v="1538283600"/>
    <b v="0"/>
    <b v="0"/>
    <s v="food/food trucks"/>
    <n v="14.962780898876405"/>
    <n v="71.983108108108112"/>
    <x v="0"/>
    <s v="food trucks"/>
    <x v="109"/>
    <d v="1974-11-16T10:06:00"/>
  </r>
  <r>
    <n v="111"/>
    <s v="Hart-Briggs"/>
    <s v="Re-engineered user-facing approach"/>
    <n v="61400"/>
    <n v="73653"/>
    <x v="1"/>
    <n v="676"/>
    <s v="US"/>
    <s v="USD"/>
    <n v="1348290000"/>
    <n v="1348808400"/>
    <b v="0"/>
    <b v="0"/>
    <s v="publishing/radio &amp; podcasts"/>
    <n v="119.95602605863192"/>
    <n v="108.95414201183432"/>
    <x v="5"/>
    <s v="radio &amp; podcasts"/>
    <x v="110"/>
    <d v="1974-04-11T02:54:00"/>
  </r>
  <r>
    <n v="112"/>
    <s v="Jones-Meyer"/>
    <s v="Re-engineered client-driven hub"/>
    <n v="4700"/>
    <n v="12635"/>
    <x v="1"/>
    <n v="361"/>
    <s v="AU"/>
    <s v="AUD"/>
    <n v="1408856400"/>
    <n v="1410152400"/>
    <b v="0"/>
    <b v="0"/>
    <s v="technology/web"/>
    <n v="268.82978723404256"/>
    <n v="35"/>
    <x v="2"/>
    <s v="web"/>
    <x v="111"/>
    <d v="1974-06-21T02:54:00"/>
  </r>
  <r>
    <n v="113"/>
    <s v="Wright, Hartman and Yu"/>
    <s v="User-friendly tertiary array"/>
    <n v="3300"/>
    <n v="12437"/>
    <x v="1"/>
    <n v="131"/>
    <s v="US"/>
    <s v="USD"/>
    <n v="1505192400"/>
    <n v="1505797200"/>
    <b v="0"/>
    <b v="0"/>
    <s v="food/food trucks"/>
    <n v="376.87878787878788"/>
    <n v="94.938931297709928"/>
    <x v="0"/>
    <s v="food trucks"/>
    <x v="112"/>
    <d v="1974-10-09T19:42:00"/>
  </r>
  <r>
    <n v="114"/>
    <s v="Harper-Davis"/>
    <s v="Robust heuristic encoding"/>
    <n v="1900"/>
    <n v="13816"/>
    <x v="1"/>
    <n v="126"/>
    <s v="US"/>
    <s v="USD"/>
    <n v="1554786000"/>
    <n v="1554872400"/>
    <b v="0"/>
    <b v="1"/>
    <s v="technology/wearables"/>
    <n v="727.15789473684208"/>
    <n v="109.65079365079364"/>
    <x v="2"/>
    <s v="wearables"/>
    <x v="113"/>
    <d v="1974-12-05T14:54:00"/>
  </r>
  <r>
    <n v="115"/>
    <s v="Barrett PLC"/>
    <s v="Team-oriented clear-thinking capacity"/>
    <n v="166700"/>
    <n v="145382"/>
    <x v="0"/>
    <n v="3304"/>
    <s v="IT"/>
    <s v="EUR"/>
    <n v="1510898400"/>
    <n v="1513922400"/>
    <b v="0"/>
    <b v="0"/>
    <s v="publishing/fiction"/>
    <n v="87.211757648470297"/>
    <n v="44.001815980629537"/>
    <x v="5"/>
    <s v="fiction"/>
    <x v="114"/>
    <d v="1974-10-19T05:24:00"/>
  </r>
  <r>
    <n v="116"/>
    <s v="David-Clark"/>
    <s v="De-engineered motivating standardization"/>
    <n v="7200"/>
    <n v="6336"/>
    <x v="0"/>
    <n v="73"/>
    <s v="US"/>
    <s v="USD"/>
    <n v="1442552400"/>
    <n v="1442638800"/>
    <b v="0"/>
    <b v="0"/>
    <s v="theater/plays"/>
    <n v="88"/>
    <n v="86.794520547945211"/>
    <x v="3"/>
    <s v="plays"/>
    <x v="115"/>
    <d v="1974-07-28T17:18:00"/>
  </r>
  <r>
    <n v="117"/>
    <s v="Chaney-Dennis"/>
    <s v="Business-focused 24hour groupware"/>
    <n v="4900"/>
    <n v="8523"/>
    <x v="1"/>
    <n v="275"/>
    <s v="US"/>
    <s v="USD"/>
    <n v="1316667600"/>
    <n v="1317186000"/>
    <b v="0"/>
    <b v="0"/>
    <s v="film &amp; video/television"/>
    <n v="173.9387755102041"/>
    <n v="30.992727272727272"/>
    <x v="4"/>
    <s v="television"/>
    <x v="116"/>
    <d v="1974-03-05T12:30:00"/>
  </r>
  <r>
    <n v="118"/>
    <s v="Robinson, Lopez and Christensen"/>
    <s v="Organic next generation protocol"/>
    <n v="5400"/>
    <n v="6351"/>
    <x v="1"/>
    <n v="67"/>
    <s v="US"/>
    <s v="USD"/>
    <n v="1390716000"/>
    <n v="1391234400"/>
    <b v="0"/>
    <b v="0"/>
    <s v="photography/photography books"/>
    <n v="117.61111111111111"/>
    <n v="94.791044776119406"/>
    <x v="7"/>
    <s v="photography books"/>
    <x v="117"/>
    <d v="1974-05-30T05:24:00"/>
  </r>
  <r>
    <n v="119"/>
    <s v="Clark and Sons"/>
    <s v="Reverse-engineered full-range Internet solution"/>
    <n v="5000"/>
    <n v="10748"/>
    <x v="1"/>
    <n v="154"/>
    <s v="US"/>
    <s v="USD"/>
    <n v="1402894800"/>
    <n v="1404363600"/>
    <b v="0"/>
    <b v="1"/>
    <s v="film &amp; video/documentary"/>
    <n v="214.96"/>
    <n v="69.79220779220779"/>
    <x v="4"/>
    <s v="documentary"/>
    <x v="118"/>
    <d v="1974-06-14T10:06:00"/>
  </r>
  <r>
    <n v="120"/>
    <s v="Vega Group"/>
    <s v="Synchronized regional synergy"/>
    <n v="75100"/>
    <n v="112272"/>
    <x v="1"/>
    <n v="1782"/>
    <s v="US"/>
    <s v="USD"/>
    <n v="1429246800"/>
    <n v="1429592400"/>
    <b v="0"/>
    <b v="1"/>
    <s v="games/mobile games"/>
    <n v="149.49667110519306"/>
    <n v="63.003367003367003"/>
    <x v="6"/>
    <s v="mobile games"/>
    <x v="119"/>
    <d v="1974-07-13T14:54:00"/>
  </r>
  <r>
    <n v="121"/>
    <s v="Brown-Brown"/>
    <s v="Multi-lateral homogeneous success"/>
    <n v="45300"/>
    <n v="99361"/>
    <x v="1"/>
    <n v="903"/>
    <s v="US"/>
    <s v="USD"/>
    <n v="1412485200"/>
    <n v="1413608400"/>
    <b v="0"/>
    <b v="0"/>
    <s v="games/video games"/>
    <n v="219.33995584988963"/>
    <n v="110.0343300110742"/>
    <x v="6"/>
    <s v="video games"/>
    <x v="33"/>
    <d v="1974-06-25T02:54:00"/>
  </r>
  <r>
    <n v="122"/>
    <s v="Taylor PLC"/>
    <s v="Seamless zero-defect solution"/>
    <n v="136800"/>
    <n v="88055"/>
    <x v="0"/>
    <n v="3387"/>
    <s v="US"/>
    <s v="USD"/>
    <n v="1417068000"/>
    <n v="1419400800"/>
    <b v="0"/>
    <b v="0"/>
    <s v="publishing/fiction"/>
    <n v="64.367690058479525"/>
    <n v="25.997933274284026"/>
    <x v="5"/>
    <s v="fiction"/>
    <x v="120"/>
    <d v="1974-07-01T19:48:00"/>
  </r>
  <r>
    <n v="123"/>
    <s v="Edwards-Lewis"/>
    <s v="Enhanced scalable concept"/>
    <n v="177700"/>
    <n v="33092"/>
    <x v="0"/>
    <n v="662"/>
    <s v="CA"/>
    <s v="CAD"/>
    <n v="1448344800"/>
    <n v="1448604000"/>
    <b v="1"/>
    <b v="0"/>
    <s v="theater/plays"/>
    <n v="18.622397298818232"/>
    <n v="49.987915407854985"/>
    <x v="3"/>
    <s v="plays"/>
    <x v="121"/>
    <d v="1974-08-04T15:00:00"/>
  </r>
  <r>
    <n v="124"/>
    <s v="Stanton, Neal and Rodriguez"/>
    <s v="Polarized uniform software"/>
    <n v="2600"/>
    <n v="9562"/>
    <x v="1"/>
    <n v="94"/>
    <s v="IT"/>
    <s v="EUR"/>
    <n v="1557723600"/>
    <n v="1562302800"/>
    <b v="0"/>
    <b v="0"/>
    <s v="photography/photography books"/>
    <n v="367.76923076923077"/>
    <n v="101.72340425531915"/>
    <x v="7"/>
    <s v="photography books"/>
    <x v="122"/>
    <d v="1974-12-14T05:18:00"/>
  </r>
  <r>
    <n v="125"/>
    <s v="Pratt LLC"/>
    <s v="Stand-alone web-enabled moderator"/>
    <n v="5300"/>
    <n v="8475"/>
    <x v="1"/>
    <n v="180"/>
    <s v="US"/>
    <s v="USD"/>
    <n v="1537333200"/>
    <n v="1537678800"/>
    <b v="0"/>
    <b v="0"/>
    <s v="theater/plays"/>
    <n v="159.90566037735849"/>
    <n v="47.083333333333336"/>
    <x v="3"/>
    <s v="plays"/>
    <x v="123"/>
    <d v="1974-11-15T17:18:00"/>
  </r>
  <r>
    <n v="126"/>
    <s v="Gross PLC"/>
    <s v="Proactive methodical benchmark"/>
    <n v="180200"/>
    <n v="69617"/>
    <x v="0"/>
    <n v="774"/>
    <s v="US"/>
    <s v="USD"/>
    <n v="1471150800"/>
    <n v="1473570000"/>
    <b v="0"/>
    <b v="1"/>
    <s v="theater/plays"/>
    <n v="38.633185349611544"/>
    <n v="89.944444444444443"/>
    <x v="3"/>
    <s v="plays"/>
    <x v="124"/>
    <d v="1974-09-02T12:30:00"/>
  </r>
  <r>
    <n v="127"/>
    <s v="Martinez, Gomez and Dalton"/>
    <s v="Team-oriented 6thgeneration matrix"/>
    <n v="103200"/>
    <n v="53067"/>
    <x v="0"/>
    <n v="672"/>
    <s v="CA"/>
    <s v="CAD"/>
    <n v="1273640400"/>
    <n v="1273899600"/>
    <b v="0"/>
    <b v="0"/>
    <s v="theater/plays"/>
    <n v="51.42151162790698"/>
    <n v="78.96875"/>
    <x v="3"/>
    <s v="plays"/>
    <x v="125"/>
    <d v="1974-01-14T10:06:00"/>
  </r>
  <r>
    <n v="128"/>
    <s v="Allen-Curtis"/>
    <s v="Phased human-resource core"/>
    <n v="70600"/>
    <n v="42596"/>
    <x v="3"/>
    <n v="532"/>
    <s v="US"/>
    <s v="USD"/>
    <n v="1282885200"/>
    <n v="1284008400"/>
    <b v="0"/>
    <b v="0"/>
    <s v="music/rock"/>
    <n v="60.334277620396605"/>
    <n v="80.067669172932327"/>
    <x v="1"/>
    <s v="rock"/>
    <x v="126"/>
    <d v="1974-01-26T02:54:00"/>
  </r>
  <r>
    <n v="129"/>
    <s v="Morgan-Martinez"/>
    <s v="Mandatory tertiary implementation"/>
    <n v="148500"/>
    <n v="4756"/>
    <x v="3"/>
    <n v="55"/>
    <s v="AU"/>
    <s v="AUD"/>
    <n v="1422943200"/>
    <n v="1425103200"/>
    <b v="0"/>
    <b v="0"/>
    <s v="food/food trucks"/>
    <n v="3.202693602693603"/>
    <n v="86.472727272727269"/>
    <x v="0"/>
    <s v="food trucks"/>
    <x v="127"/>
    <d v="1974-07-08T10:12:00"/>
  </r>
  <r>
    <n v="130"/>
    <s v="Luna, Anderson and Fox"/>
    <s v="Secured directional encryption"/>
    <n v="9600"/>
    <n v="14925"/>
    <x v="1"/>
    <n v="533"/>
    <s v="DK"/>
    <s v="DKK"/>
    <n v="1319605200"/>
    <n v="1320991200"/>
    <b v="0"/>
    <b v="0"/>
    <s v="film &amp; video/drama"/>
    <n v="155.46875"/>
    <n v="28.001876172607879"/>
    <x v="4"/>
    <s v="drama"/>
    <x v="128"/>
    <d v="1974-03-09T22:12:00"/>
  </r>
  <r>
    <n v="131"/>
    <s v="Fleming, Zhang and Henderson"/>
    <s v="Distributed 5thgeneration implementation"/>
    <n v="164700"/>
    <n v="166116"/>
    <x v="1"/>
    <n v="2443"/>
    <s v="GB"/>
    <s v="GBP"/>
    <n v="1385704800"/>
    <n v="1386828000"/>
    <b v="0"/>
    <b v="0"/>
    <s v="technology/web"/>
    <n v="100.85974499089254"/>
    <n v="67.996725337699544"/>
    <x v="2"/>
    <s v="web"/>
    <x v="129"/>
    <d v="1974-05-25T03:00:00"/>
  </r>
  <r>
    <n v="132"/>
    <s v="Flowers and Sons"/>
    <s v="Virtual static core"/>
    <n v="3300"/>
    <n v="3834"/>
    <x v="1"/>
    <n v="89"/>
    <s v="US"/>
    <s v="USD"/>
    <n v="1515736800"/>
    <n v="1517119200"/>
    <b v="0"/>
    <b v="1"/>
    <s v="theater/plays"/>
    <n v="116.18181818181819"/>
    <n v="43.078651685393261"/>
    <x v="3"/>
    <s v="plays"/>
    <x v="130"/>
    <d v="1974-10-22T22:12:00"/>
  </r>
  <r>
    <n v="133"/>
    <s v="Gates PLC"/>
    <s v="Secured content-based product"/>
    <n v="4500"/>
    <n v="13985"/>
    <x v="1"/>
    <n v="159"/>
    <s v="US"/>
    <s v="USD"/>
    <n v="1313125200"/>
    <n v="1315026000"/>
    <b v="0"/>
    <b v="0"/>
    <s v="music/world music"/>
    <n v="310.77777777777777"/>
    <n v="87.95597484276729"/>
    <x v="1"/>
    <s v="world music"/>
    <x v="131"/>
    <d v="1974-03-03T00:30:00"/>
  </r>
  <r>
    <n v="134"/>
    <s v="Caldwell LLC"/>
    <s v="Secured executive concept"/>
    <n v="99500"/>
    <n v="89288"/>
    <x v="0"/>
    <n v="940"/>
    <s v="CH"/>
    <s v="CHF"/>
    <n v="1308459600"/>
    <n v="1312693200"/>
    <b v="0"/>
    <b v="1"/>
    <s v="film &amp; video/documentary"/>
    <n v="89.73668341708543"/>
    <n v="94.987234042553197"/>
    <x v="4"/>
    <s v="documentary"/>
    <x v="132"/>
    <d v="1974-02-28T07:42:00"/>
  </r>
  <r>
    <n v="135"/>
    <s v="Le, Burton and Evans"/>
    <s v="Balanced zero-defect software"/>
    <n v="7700"/>
    <n v="5488"/>
    <x v="0"/>
    <n v="117"/>
    <s v="US"/>
    <s v="USD"/>
    <n v="1362636000"/>
    <n v="1363064400"/>
    <b v="0"/>
    <b v="1"/>
    <s v="theater/plays"/>
    <n v="71.27272727272728"/>
    <n v="46.905982905982903"/>
    <x v="3"/>
    <s v="plays"/>
    <x v="133"/>
    <d v="1974-04-27T14:54:00"/>
  </r>
  <r>
    <n v="136"/>
    <s v="Briggs PLC"/>
    <s v="Distributed context-sensitive flexibility"/>
    <n v="82800"/>
    <n v="2721"/>
    <x v="3"/>
    <n v="58"/>
    <s v="US"/>
    <s v="USD"/>
    <n v="1402117200"/>
    <n v="1403154000"/>
    <b v="0"/>
    <b v="1"/>
    <s v="film &amp; video/drama"/>
    <n v="3.2862318840579712"/>
    <n v="46.913793103448278"/>
    <x v="4"/>
    <s v="drama"/>
    <x v="134"/>
    <d v="1974-06-13T00:30:00"/>
  </r>
  <r>
    <n v="137"/>
    <s v="Hudson-Nguyen"/>
    <s v="Down-sized disintermediate support"/>
    <n v="1800"/>
    <n v="4712"/>
    <x v="1"/>
    <n v="50"/>
    <s v="US"/>
    <s v="USD"/>
    <n v="1286341200"/>
    <n v="1286859600"/>
    <b v="0"/>
    <b v="0"/>
    <s v="publishing/nonfiction"/>
    <n v="261.77777777777777"/>
    <n v="94.24"/>
    <x v="5"/>
    <s v="nonfiction"/>
    <x v="135"/>
    <d v="1974-01-29T10:06:00"/>
  </r>
  <r>
    <n v="138"/>
    <s v="Hogan Ltd"/>
    <s v="Stand-alone mission-critical moratorium"/>
    <n v="9600"/>
    <n v="9216"/>
    <x v="0"/>
    <n v="115"/>
    <s v="US"/>
    <s v="USD"/>
    <n v="1348808400"/>
    <n v="1349326800"/>
    <b v="0"/>
    <b v="0"/>
    <s v="games/mobile games"/>
    <n v="96"/>
    <n v="80.139130434782615"/>
    <x v="6"/>
    <s v="mobile games"/>
    <x v="136"/>
    <d v="1974-04-11T17:18:00"/>
  </r>
  <r>
    <n v="139"/>
    <s v="Hamilton, Wright and Chavez"/>
    <s v="Down-sized empowering protocol"/>
    <n v="92100"/>
    <n v="19246"/>
    <x v="0"/>
    <n v="326"/>
    <s v="US"/>
    <s v="USD"/>
    <n v="1429592400"/>
    <n v="1430974800"/>
    <b v="0"/>
    <b v="1"/>
    <s v="technology/wearables"/>
    <n v="20.896851248642779"/>
    <n v="59.036809815950917"/>
    <x v="2"/>
    <s v="wearables"/>
    <x v="137"/>
    <d v="1974-07-15T05:18:00"/>
  </r>
  <r>
    <n v="140"/>
    <s v="Bautista-Cross"/>
    <s v="Fully-configurable coherent Internet solution"/>
    <n v="5500"/>
    <n v="12274"/>
    <x v="1"/>
    <n v="186"/>
    <s v="US"/>
    <s v="USD"/>
    <n v="1519538400"/>
    <n v="1519970400"/>
    <b v="0"/>
    <b v="0"/>
    <s v="film &amp; video/documentary"/>
    <n v="223.16363636363636"/>
    <n v="65.989247311827953"/>
    <x v="4"/>
    <s v="documentary"/>
    <x v="138"/>
    <d v="1974-10-26T05:24:00"/>
  </r>
  <r>
    <n v="141"/>
    <s v="Jackson LLC"/>
    <s v="Distributed motivating algorithm"/>
    <n v="64300"/>
    <n v="65323"/>
    <x v="1"/>
    <n v="1071"/>
    <s v="US"/>
    <s v="USD"/>
    <n v="1434085200"/>
    <n v="1434603600"/>
    <b v="0"/>
    <b v="0"/>
    <s v="technology/web"/>
    <n v="101.59097978227061"/>
    <n v="60.992530345471522"/>
    <x v="2"/>
    <s v="web"/>
    <x v="139"/>
    <d v="1974-07-19T10:06:00"/>
  </r>
  <r>
    <n v="142"/>
    <s v="Figueroa Ltd"/>
    <s v="Expanded solution-oriented benchmark"/>
    <n v="5000"/>
    <n v="11502"/>
    <x v="1"/>
    <n v="117"/>
    <s v="US"/>
    <s v="USD"/>
    <n v="1333688400"/>
    <n v="1337230800"/>
    <b v="0"/>
    <b v="0"/>
    <s v="technology/web"/>
    <n v="230.03999999999996"/>
    <n v="98.307692307692307"/>
    <x v="2"/>
    <s v="web"/>
    <x v="107"/>
    <d v="1974-03-28T17:18:00"/>
  </r>
  <r>
    <n v="143"/>
    <s v="Avila-Jones"/>
    <s v="Implemented discrete secured line"/>
    <n v="5400"/>
    <n v="7322"/>
    <x v="1"/>
    <n v="70"/>
    <s v="US"/>
    <s v="USD"/>
    <n v="1277701200"/>
    <n v="1279429200"/>
    <b v="0"/>
    <b v="0"/>
    <s v="music/indie rock"/>
    <n v="135.59259259259261"/>
    <n v="104.6"/>
    <x v="1"/>
    <s v="indie rock"/>
    <x v="140"/>
    <d v="1974-01-20T19:42:00"/>
  </r>
  <r>
    <n v="144"/>
    <s v="Martin, Lopez and Hunter"/>
    <s v="Multi-lateral actuating installation"/>
    <n v="9000"/>
    <n v="11619"/>
    <x v="1"/>
    <n v="135"/>
    <s v="US"/>
    <s v="USD"/>
    <n v="1560747600"/>
    <n v="1561438800"/>
    <b v="0"/>
    <b v="0"/>
    <s v="theater/plays"/>
    <n v="129.1"/>
    <n v="86.066666666666663"/>
    <x v="3"/>
    <s v="plays"/>
    <x v="141"/>
    <d v="1974-12-13T05:18:00"/>
  </r>
  <r>
    <n v="145"/>
    <s v="Fields-Moore"/>
    <s v="Secured reciprocal array"/>
    <n v="25000"/>
    <n v="59128"/>
    <x v="1"/>
    <n v="768"/>
    <s v="CH"/>
    <s v="CHF"/>
    <n v="1410066000"/>
    <n v="1410498000"/>
    <b v="0"/>
    <b v="0"/>
    <s v="technology/wearables"/>
    <n v="236.512"/>
    <n v="76.989583333333329"/>
    <x v="2"/>
    <s v="wearables"/>
    <x v="142"/>
    <d v="1974-06-21T12:30:00"/>
  </r>
  <r>
    <n v="146"/>
    <s v="Harris-Golden"/>
    <s v="Optional bandwidth-monitored middleware"/>
    <n v="8800"/>
    <n v="1518"/>
    <x v="3"/>
    <n v="51"/>
    <s v="US"/>
    <s v="USD"/>
    <n v="1320732000"/>
    <n v="1322460000"/>
    <b v="0"/>
    <b v="0"/>
    <s v="theater/plays"/>
    <n v="17.25"/>
    <n v="29.764705882352942"/>
    <x v="3"/>
    <s v="plays"/>
    <x v="143"/>
    <d v="1974-03-11T15:00:00"/>
  </r>
  <r>
    <n v="147"/>
    <s v="Moss, Norman and Dunlap"/>
    <s v="Upgradable upward-trending workforce"/>
    <n v="8300"/>
    <n v="9337"/>
    <x v="1"/>
    <n v="199"/>
    <s v="US"/>
    <s v="USD"/>
    <n v="1465794000"/>
    <n v="1466312400"/>
    <b v="0"/>
    <b v="1"/>
    <s v="theater/plays"/>
    <n v="112.49397590361446"/>
    <n v="46.91959798994975"/>
    <x v="3"/>
    <s v="plays"/>
    <x v="144"/>
    <d v="1974-08-25T02:54:00"/>
  </r>
  <r>
    <n v="148"/>
    <s v="White, Larson and Wright"/>
    <s v="Upgradable hybrid capability"/>
    <n v="9300"/>
    <n v="11255"/>
    <x v="1"/>
    <n v="107"/>
    <s v="US"/>
    <s v="USD"/>
    <n v="1500958800"/>
    <n v="1501736400"/>
    <b v="0"/>
    <b v="0"/>
    <s v="technology/wearables"/>
    <n v="121.02150537634408"/>
    <n v="105.18691588785046"/>
    <x v="2"/>
    <s v="wearables"/>
    <x v="145"/>
    <d v="1974-10-05T02:54:00"/>
  </r>
  <r>
    <n v="149"/>
    <s v="Payne, Oliver and Burch"/>
    <s v="Managed fresh-thinking flexibility"/>
    <n v="6200"/>
    <n v="13632"/>
    <x v="1"/>
    <n v="195"/>
    <s v="US"/>
    <s v="USD"/>
    <n v="1357020000"/>
    <n v="1361512800"/>
    <b v="0"/>
    <b v="0"/>
    <s v="music/indie rock"/>
    <n v="219.87096774193549"/>
    <n v="69.907692307692301"/>
    <x v="1"/>
    <s v="indie rock"/>
    <x v="146"/>
    <d v="1974-04-25T19:48:00"/>
  </r>
  <r>
    <n v="150"/>
    <s v="Brown, Palmer and Pace"/>
    <s v="Networked stable workforce"/>
    <n v="100"/>
    <n v="1"/>
    <x v="0"/>
    <n v="1"/>
    <s v="US"/>
    <s v="USD"/>
    <n v="1544940000"/>
    <n v="1545026400"/>
    <b v="0"/>
    <b v="0"/>
    <s v="music/rock"/>
    <n v="1"/>
    <n v="1"/>
    <x v="1"/>
    <s v="rock"/>
    <x v="147"/>
    <d v="1974-11-24T05:24:00"/>
  </r>
  <r>
    <n v="151"/>
    <s v="Parker LLC"/>
    <s v="Customizable intermediate extranet"/>
    <n v="137200"/>
    <n v="88037"/>
    <x v="0"/>
    <n v="1467"/>
    <s v="US"/>
    <s v="USD"/>
    <n v="1402290000"/>
    <n v="1406696400"/>
    <b v="0"/>
    <b v="0"/>
    <s v="music/electric music"/>
    <n v="64.166909620991248"/>
    <n v="60.011588275391958"/>
    <x v="1"/>
    <s v="electric music"/>
    <x v="148"/>
    <d v="1974-06-17T02:54:00"/>
  </r>
  <r>
    <n v="152"/>
    <s v="Bowen, Mcdonald and Hall"/>
    <s v="User-centric fault-tolerant task-force"/>
    <n v="41500"/>
    <n v="175573"/>
    <x v="1"/>
    <n v="3376"/>
    <s v="US"/>
    <s v="USD"/>
    <n v="1487311200"/>
    <n v="1487916000"/>
    <b v="0"/>
    <b v="0"/>
    <s v="music/indie rock"/>
    <n v="423.06746987951806"/>
    <n v="52.006220379146917"/>
    <x v="1"/>
    <s v="indie rock"/>
    <x v="149"/>
    <d v="1974-09-19T03:00:00"/>
  </r>
  <r>
    <n v="153"/>
    <s v="Whitehead, Bell and Hughes"/>
    <s v="Multi-tiered radical definition"/>
    <n v="189400"/>
    <n v="176112"/>
    <x v="0"/>
    <n v="5681"/>
    <s v="US"/>
    <s v="USD"/>
    <n v="1350622800"/>
    <n v="1351141200"/>
    <b v="0"/>
    <b v="0"/>
    <s v="theater/plays"/>
    <n v="92.984160506863773"/>
    <n v="31.000176025347649"/>
    <x v="3"/>
    <s v="plays"/>
    <x v="150"/>
    <d v="1974-04-13T19:42:00"/>
  </r>
  <r>
    <n v="154"/>
    <s v="Rodriguez-Brown"/>
    <s v="Devolved foreground benchmark"/>
    <n v="171300"/>
    <n v="100650"/>
    <x v="0"/>
    <n v="1059"/>
    <s v="US"/>
    <s v="USD"/>
    <n v="1463029200"/>
    <n v="1465016400"/>
    <b v="0"/>
    <b v="1"/>
    <s v="music/indie rock"/>
    <n v="58.756567425569173"/>
    <n v="95.042492917847028"/>
    <x v="1"/>
    <s v="indie rock"/>
    <x v="151"/>
    <d v="1974-08-23T14:54:00"/>
  </r>
  <r>
    <n v="155"/>
    <s v="Hall-Schaefer"/>
    <s v="Distributed eco-centric methodology"/>
    <n v="139500"/>
    <n v="90706"/>
    <x v="0"/>
    <n v="1194"/>
    <s v="US"/>
    <s v="USD"/>
    <n v="1269493200"/>
    <n v="1270789200"/>
    <b v="0"/>
    <b v="0"/>
    <s v="theater/plays"/>
    <n v="65.022222222222226"/>
    <n v="75.968174204355108"/>
    <x v="3"/>
    <s v="plays"/>
    <x v="152"/>
    <d v="1974-01-10T19:42:00"/>
  </r>
  <r>
    <n v="156"/>
    <s v="Meza-Rogers"/>
    <s v="Streamlined encompassing encryption"/>
    <n v="36400"/>
    <n v="26914"/>
    <x v="3"/>
    <n v="379"/>
    <s v="AU"/>
    <s v="AUD"/>
    <n v="1570251600"/>
    <n v="1572325200"/>
    <b v="0"/>
    <b v="0"/>
    <s v="music/rock"/>
    <n v="73.939560439560438"/>
    <n v="71.013192612137203"/>
    <x v="1"/>
    <s v="rock"/>
    <x v="153"/>
    <d v="1974-12-25T19:42:00"/>
  </r>
  <r>
    <n v="157"/>
    <s v="Curtis-Curtis"/>
    <s v="User-friendly reciprocal initiative"/>
    <n v="4200"/>
    <n v="2212"/>
    <x v="0"/>
    <n v="30"/>
    <s v="AU"/>
    <s v="AUD"/>
    <n v="1388383200"/>
    <n v="1389420000"/>
    <b v="0"/>
    <b v="0"/>
    <s v="photography/photography books"/>
    <n v="52.666666666666664"/>
    <n v="73.733333333333334"/>
    <x v="7"/>
    <s v="photography books"/>
    <x v="154"/>
    <d v="1974-05-28T03:00:00"/>
  </r>
  <r>
    <n v="158"/>
    <s v="Carlson Inc"/>
    <s v="Ergonomic fresh-thinking installation"/>
    <n v="2100"/>
    <n v="4640"/>
    <x v="1"/>
    <n v="41"/>
    <s v="US"/>
    <s v="USD"/>
    <n v="1449554400"/>
    <n v="1449640800"/>
    <b v="0"/>
    <b v="0"/>
    <s v="music/rock"/>
    <n v="220.95238095238096"/>
    <n v="113.17073170731707"/>
    <x v="1"/>
    <s v="rock"/>
    <x v="155"/>
    <d v="1974-08-05T19:48:00"/>
  </r>
  <r>
    <n v="159"/>
    <s v="Clarke, Anderson and Lee"/>
    <s v="Robust explicit hardware"/>
    <n v="191200"/>
    <n v="191222"/>
    <x v="1"/>
    <n v="1821"/>
    <s v="US"/>
    <s v="USD"/>
    <n v="1553662800"/>
    <n v="1555218000"/>
    <b v="0"/>
    <b v="1"/>
    <s v="theater/plays"/>
    <n v="100.01150627615063"/>
    <n v="105.00933552992861"/>
    <x v="3"/>
    <s v="plays"/>
    <x v="156"/>
    <d v="1974-12-06T00:30:00"/>
  </r>
  <r>
    <n v="160"/>
    <s v="Evans Group"/>
    <s v="Stand-alone actuating support"/>
    <n v="8000"/>
    <n v="12985"/>
    <x v="1"/>
    <n v="164"/>
    <s v="US"/>
    <s v="USD"/>
    <n v="1556341200"/>
    <n v="1557723600"/>
    <b v="0"/>
    <b v="0"/>
    <s v="technology/wearables"/>
    <n v="162.3125"/>
    <n v="79.176829268292678"/>
    <x v="2"/>
    <s v="wearables"/>
    <x v="157"/>
    <d v="1974-12-08T22:06:00"/>
  </r>
  <r>
    <n v="161"/>
    <s v="Bruce Group"/>
    <s v="Cross-platform methodical process improvement"/>
    <n v="5500"/>
    <n v="4300"/>
    <x v="0"/>
    <n v="75"/>
    <s v="US"/>
    <s v="USD"/>
    <n v="1442984400"/>
    <n v="1443502800"/>
    <b v="0"/>
    <b v="1"/>
    <s v="technology/web"/>
    <n v="78.181818181818187"/>
    <n v="57.333333333333336"/>
    <x v="2"/>
    <s v="web"/>
    <x v="158"/>
    <d v="1974-07-29T17:18:00"/>
  </r>
  <r>
    <n v="162"/>
    <s v="Keith, Alvarez and Potter"/>
    <s v="Extended bottom-line open architecture"/>
    <n v="6100"/>
    <n v="9134"/>
    <x v="1"/>
    <n v="157"/>
    <s v="CH"/>
    <s v="CHF"/>
    <n v="1544248800"/>
    <n v="1546840800"/>
    <b v="0"/>
    <b v="0"/>
    <s v="music/rock"/>
    <n v="149.73770491803279"/>
    <n v="58.178343949044589"/>
    <x v="1"/>
    <s v="rock"/>
    <x v="159"/>
    <d v="1974-11-26T07:48:00"/>
  </r>
  <r>
    <n v="163"/>
    <s v="Burton-Watkins"/>
    <s v="Extended reciprocal circuit"/>
    <n v="3500"/>
    <n v="8864"/>
    <x v="1"/>
    <n v="246"/>
    <s v="US"/>
    <s v="USD"/>
    <n v="1508475600"/>
    <n v="1512712800"/>
    <b v="0"/>
    <b v="1"/>
    <s v="photography/photography books"/>
    <n v="253.25714285714284"/>
    <n v="36.032520325203251"/>
    <x v="7"/>
    <s v="photography books"/>
    <x v="160"/>
    <d v="1974-10-17T19:48:00"/>
  </r>
  <r>
    <n v="164"/>
    <s v="Lopez and Sons"/>
    <s v="Polarized human-resource protocol"/>
    <n v="150500"/>
    <n v="150755"/>
    <x v="1"/>
    <n v="1396"/>
    <s v="US"/>
    <s v="USD"/>
    <n v="1507438800"/>
    <n v="1507525200"/>
    <b v="0"/>
    <b v="0"/>
    <s v="theater/plays"/>
    <n v="100.16943521594683"/>
    <n v="107.99068767908309"/>
    <x v="3"/>
    <s v="plays"/>
    <x v="161"/>
    <d v="1974-10-11T19:42:00"/>
  </r>
  <r>
    <n v="165"/>
    <s v="Cordova Ltd"/>
    <s v="Synergized radical product"/>
    <n v="90400"/>
    <n v="110279"/>
    <x v="1"/>
    <n v="2506"/>
    <s v="US"/>
    <s v="USD"/>
    <n v="1501563600"/>
    <n v="1504328400"/>
    <b v="0"/>
    <b v="0"/>
    <s v="technology/web"/>
    <n v="121.99004424778761"/>
    <n v="44.005985634477256"/>
    <x v="2"/>
    <s v="web"/>
    <x v="162"/>
    <d v="1974-10-08T02:54:00"/>
  </r>
  <r>
    <n v="166"/>
    <s v="Brown-Vang"/>
    <s v="Robust heuristic artificial intelligence"/>
    <n v="9800"/>
    <n v="13439"/>
    <x v="1"/>
    <n v="244"/>
    <s v="US"/>
    <s v="USD"/>
    <n v="1292997600"/>
    <n v="1293343200"/>
    <b v="0"/>
    <b v="0"/>
    <s v="photography/photography books"/>
    <n v="137.13265306122449"/>
    <n v="55.077868852459019"/>
    <x v="7"/>
    <s v="photography books"/>
    <x v="163"/>
    <d v="1974-02-05T22:12:00"/>
  </r>
  <r>
    <n v="167"/>
    <s v="Cruz-Ward"/>
    <s v="Robust content-based emulation"/>
    <n v="2600"/>
    <n v="10804"/>
    <x v="1"/>
    <n v="146"/>
    <s v="AU"/>
    <s v="AUD"/>
    <n v="1370840400"/>
    <n v="1371704400"/>
    <b v="0"/>
    <b v="0"/>
    <s v="theater/plays"/>
    <n v="415.53846153846149"/>
    <n v="74"/>
    <x v="3"/>
    <s v="plays"/>
    <x v="164"/>
    <d v="1974-05-07T14:54:00"/>
  </r>
  <r>
    <n v="168"/>
    <s v="Hernandez Group"/>
    <s v="Ergonomic uniform open system"/>
    <n v="128100"/>
    <n v="40107"/>
    <x v="0"/>
    <n v="955"/>
    <s v="DK"/>
    <s v="DKK"/>
    <n v="1550815200"/>
    <n v="1552798800"/>
    <b v="0"/>
    <b v="1"/>
    <s v="music/indie rock"/>
    <n v="31.30913348946136"/>
    <n v="41.996858638743454"/>
    <x v="1"/>
    <s v="indie rock"/>
    <x v="165"/>
    <d v="1974-12-03T05:18:00"/>
  </r>
  <r>
    <n v="169"/>
    <s v="Tran, Steele and Wilson"/>
    <s v="Profit-focused modular product"/>
    <n v="23300"/>
    <n v="98811"/>
    <x v="1"/>
    <n v="1267"/>
    <s v="US"/>
    <s v="USD"/>
    <n v="1339909200"/>
    <n v="1342328400"/>
    <b v="0"/>
    <b v="1"/>
    <s v="film &amp; video/shorts"/>
    <n v="424.08154506437768"/>
    <n v="77.988161010260455"/>
    <x v="4"/>
    <s v="shorts"/>
    <x v="166"/>
    <d v="1974-04-03T14:54:00"/>
  </r>
  <r>
    <n v="170"/>
    <s v="Summers, Gallegos and Stein"/>
    <s v="Mandatory mobile product"/>
    <n v="188100"/>
    <n v="5528"/>
    <x v="0"/>
    <n v="67"/>
    <s v="US"/>
    <s v="USD"/>
    <n v="1501736400"/>
    <n v="1502341200"/>
    <b v="0"/>
    <b v="0"/>
    <s v="music/indie rock"/>
    <n v="2.93886230728336"/>
    <n v="82.507462686567166"/>
    <x v="1"/>
    <s v="indie rock"/>
    <x v="167"/>
    <d v="1974-10-05T19:42:00"/>
  </r>
  <r>
    <n v="171"/>
    <s v="Blair Group"/>
    <s v="Public-key 3rdgeneration budgetary management"/>
    <n v="4900"/>
    <n v="521"/>
    <x v="0"/>
    <n v="5"/>
    <s v="US"/>
    <s v="USD"/>
    <n v="1395291600"/>
    <n v="1397192400"/>
    <b v="0"/>
    <b v="0"/>
    <s v="publishing/translations"/>
    <n v="10.63265306122449"/>
    <n v="104.2"/>
    <x v="5"/>
    <s v="translations"/>
    <x v="168"/>
    <d v="1974-06-06T02:54:00"/>
  </r>
  <r>
    <n v="172"/>
    <s v="Nixon Inc"/>
    <s v="Centralized national firmware"/>
    <n v="800"/>
    <n v="663"/>
    <x v="0"/>
    <n v="26"/>
    <s v="US"/>
    <s v="USD"/>
    <n v="1405746000"/>
    <n v="1407042000"/>
    <b v="0"/>
    <b v="1"/>
    <s v="film &amp; video/documentary"/>
    <n v="82.875"/>
    <n v="25.5"/>
    <x v="4"/>
    <s v="documentary"/>
    <x v="169"/>
    <d v="1974-06-17T12:30:00"/>
  </r>
  <r>
    <n v="173"/>
    <s v="White LLC"/>
    <s v="Cross-group 4thgeneration middleware"/>
    <n v="96700"/>
    <n v="157635"/>
    <x v="1"/>
    <n v="1561"/>
    <s v="US"/>
    <s v="USD"/>
    <n v="1368853200"/>
    <n v="1369371600"/>
    <b v="0"/>
    <b v="0"/>
    <s v="theater/plays"/>
    <n v="163.01447776628748"/>
    <n v="100.98334401024984"/>
    <x v="3"/>
    <s v="plays"/>
    <x v="170"/>
    <d v="1974-05-04T22:06:00"/>
  </r>
  <r>
    <n v="174"/>
    <s v="Santos, Black and Donovan"/>
    <s v="Pre-emptive scalable access"/>
    <n v="600"/>
    <n v="5368"/>
    <x v="1"/>
    <n v="48"/>
    <s v="US"/>
    <s v="USD"/>
    <n v="1444021200"/>
    <n v="1444107600"/>
    <b v="0"/>
    <b v="1"/>
    <s v="technology/wearables"/>
    <n v="894.66666666666674"/>
    <n v="111.83333333333333"/>
    <x v="2"/>
    <s v="wearables"/>
    <x v="171"/>
    <d v="1974-07-30T10:06:00"/>
  </r>
  <r>
    <n v="175"/>
    <s v="Jones, Contreras and Burnett"/>
    <s v="Sharable intangible migration"/>
    <n v="181200"/>
    <n v="47459"/>
    <x v="0"/>
    <n v="1130"/>
    <s v="US"/>
    <s v="USD"/>
    <n v="1472619600"/>
    <n v="1474261200"/>
    <b v="0"/>
    <b v="0"/>
    <s v="theater/plays"/>
    <n v="26.191501103752756"/>
    <n v="41.999115044247787"/>
    <x v="3"/>
    <s v="plays"/>
    <x v="172"/>
    <d v="1974-09-03T07:42:00"/>
  </r>
  <r>
    <n v="176"/>
    <s v="Stone-Orozco"/>
    <s v="Proactive scalable Graphical User Interface"/>
    <n v="115000"/>
    <n v="86060"/>
    <x v="0"/>
    <n v="782"/>
    <s v="US"/>
    <s v="USD"/>
    <n v="1472878800"/>
    <n v="1473656400"/>
    <b v="0"/>
    <b v="0"/>
    <s v="theater/plays"/>
    <n v="74.834782608695647"/>
    <n v="110.05115089514067"/>
    <x v="3"/>
    <s v="plays"/>
    <x v="173"/>
    <d v="1974-09-02T14:54:00"/>
  </r>
  <r>
    <n v="177"/>
    <s v="Lee, Gibson and Morgan"/>
    <s v="Digitized solution-oriented product"/>
    <n v="38800"/>
    <n v="161593"/>
    <x v="1"/>
    <n v="2739"/>
    <s v="US"/>
    <s v="USD"/>
    <n v="1289800800"/>
    <n v="1291960800"/>
    <b v="0"/>
    <b v="0"/>
    <s v="theater/plays"/>
    <n v="416.47680412371136"/>
    <n v="58.997079225994888"/>
    <x v="3"/>
    <s v="plays"/>
    <x v="174"/>
    <d v="1974-02-04T07:48:00"/>
  </r>
  <r>
    <n v="178"/>
    <s v="Alexander-Williams"/>
    <s v="Triple-buffered cohesive structure"/>
    <n v="7200"/>
    <n v="6927"/>
    <x v="0"/>
    <n v="210"/>
    <s v="US"/>
    <s v="USD"/>
    <n v="1505970000"/>
    <n v="1506747600"/>
    <b v="0"/>
    <b v="0"/>
    <s v="food/food trucks"/>
    <n v="96.208333333333329"/>
    <n v="32.985714285714288"/>
    <x v="0"/>
    <s v="food trucks"/>
    <x v="175"/>
    <d v="1974-10-10T22:06:00"/>
  </r>
  <r>
    <n v="179"/>
    <s v="Marks Ltd"/>
    <s v="Realigned human-resource orchestration"/>
    <n v="44500"/>
    <n v="159185"/>
    <x v="1"/>
    <n v="3537"/>
    <s v="CA"/>
    <s v="CAD"/>
    <n v="1363496400"/>
    <n v="1363582800"/>
    <b v="0"/>
    <b v="1"/>
    <s v="theater/plays"/>
    <n v="357.71910112359546"/>
    <n v="45.005654509471306"/>
    <x v="3"/>
    <s v="plays"/>
    <x v="176"/>
    <d v="1974-04-28T05:18:00"/>
  </r>
  <r>
    <n v="180"/>
    <s v="Olsen, Edwards and Reid"/>
    <s v="Optional clear-thinking software"/>
    <n v="56000"/>
    <n v="172736"/>
    <x v="1"/>
    <n v="2107"/>
    <s v="AU"/>
    <s v="AUD"/>
    <n v="1269234000"/>
    <n v="1269666000"/>
    <b v="0"/>
    <b v="0"/>
    <s v="technology/wearables"/>
    <n v="308.45714285714286"/>
    <n v="81.98196487897485"/>
    <x v="2"/>
    <s v="wearables"/>
    <x v="177"/>
    <d v="1974-01-09T12:30:00"/>
  </r>
  <r>
    <n v="181"/>
    <s v="Daniels, Rose and Tyler"/>
    <s v="Centralized global approach"/>
    <n v="8600"/>
    <n v="5315"/>
    <x v="0"/>
    <n v="136"/>
    <s v="US"/>
    <s v="USD"/>
    <n v="1507093200"/>
    <n v="1508648400"/>
    <b v="0"/>
    <b v="0"/>
    <s v="technology/web"/>
    <n v="61.802325581395344"/>
    <n v="39.080882352941174"/>
    <x v="2"/>
    <s v="web"/>
    <x v="178"/>
    <d v="1974-10-13T02:54:00"/>
  </r>
  <r>
    <n v="182"/>
    <s v="Adams Group"/>
    <s v="Reverse-engineered bandwidth-monitored contingency"/>
    <n v="27100"/>
    <n v="195750"/>
    <x v="1"/>
    <n v="3318"/>
    <s v="DK"/>
    <s v="DKK"/>
    <n v="1560574800"/>
    <n v="1561957200"/>
    <b v="0"/>
    <b v="0"/>
    <s v="theater/plays"/>
    <n v="722.32472324723244"/>
    <n v="58.996383363471971"/>
    <x v="3"/>
    <s v="plays"/>
    <x v="179"/>
    <d v="1974-12-13T19:42:00"/>
  </r>
  <r>
    <n v="183"/>
    <s v="Rogers, Huerta and Medina"/>
    <s v="Pre-emptive bandwidth-monitored instruction set"/>
    <n v="5100"/>
    <n v="3525"/>
    <x v="0"/>
    <n v="86"/>
    <s v="CA"/>
    <s v="CAD"/>
    <n v="1284008400"/>
    <n v="1285131600"/>
    <b v="0"/>
    <b v="0"/>
    <s v="music/rock"/>
    <n v="69.117647058823522"/>
    <n v="40.988372093023258"/>
    <x v="1"/>
    <s v="rock"/>
    <x v="180"/>
    <d v="1974-01-27T10:06:00"/>
  </r>
  <r>
    <n v="184"/>
    <s v="Howard, Carter and Griffith"/>
    <s v="Adaptive asynchronous emulation"/>
    <n v="3600"/>
    <n v="10550"/>
    <x v="1"/>
    <n v="340"/>
    <s v="US"/>
    <s v="USD"/>
    <n v="1556859600"/>
    <n v="1556946000"/>
    <b v="0"/>
    <b v="0"/>
    <s v="theater/plays"/>
    <n v="293.05555555555554"/>
    <n v="31.029411764705884"/>
    <x v="3"/>
    <s v="plays"/>
    <x v="181"/>
    <d v="1974-12-08T00:30:00"/>
  </r>
  <r>
    <n v="185"/>
    <s v="Bailey PLC"/>
    <s v="Innovative actuating conglomeration"/>
    <n v="1000"/>
    <n v="718"/>
    <x v="0"/>
    <n v="19"/>
    <s v="US"/>
    <s v="USD"/>
    <n v="1526187600"/>
    <n v="1527138000"/>
    <b v="0"/>
    <b v="0"/>
    <s v="film &amp; video/television"/>
    <n v="71.8"/>
    <n v="37.789473684210527"/>
    <x v="4"/>
    <s v="television"/>
    <x v="182"/>
    <d v="1974-11-03T12:30:00"/>
  </r>
  <r>
    <n v="186"/>
    <s v="Parker Group"/>
    <s v="Grass-roots foreground policy"/>
    <n v="88800"/>
    <n v="28358"/>
    <x v="0"/>
    <n v="886"/>
    <s v="US"/>
    <s v="USD"/>
    <n v="1400821200"/>
    <n v="1402117200"/>
    <b v="0"/>
    <b v="0"/>
    <s v="theater/plays"/>
    <n v="31.934684684684683"/>
    <n v="32.006772009029348"/>
    <x v="3"/>
    <s v="plays"/>
    <x v="183"/>
    <d v="1974-06-11T19:42:00"/>
  </r>
  <r>
    <n v="187"/>
    <s v="Fox Group"/>
    <s v="Horizontal transitional paradigm"/>
    <n v="60200"/>
    <n v="138384"/>
    <x v="1"/>
    <n v="1442"/>
    <s v="CA"/>
    <s v="CAD"/>
    <n v="1361599200"/>
    <n v="1364014800"/>
    <b v="0"/>
    <b v="1"/>
    <s v="film &amp; video/shorts"/>
    <n v="229.87375415282392"/>
    <n v="95.966712898751737"/>
    <x v="4"/>
    <s v="shorts"/>
    <x v="184"/>
    <d v="1974-04-28T17:18:00"/>
  </r>
  <r>
    <n v="188"/>
    <s v="Walker, Jones and Rodriguez"/>
    <s v="Networked didactic info-mediaries"/>
    <n v="8200"/>
    <n v="2625"/>
    <x v="0"/>
    <n v="35"/>
    <s v="IT"/>
    <s v="EUR"/>
    <n v="1417500000"/>
    <n v="1417586400"/>
    <b v="0"/>
    <b v="0"/>
    <s v="theater/plays"/>
    <n v="32.012195121951223"/>
    <n v="75"/>
    <x v="3"/>
    <s v="plays"/>
    <x v="185"/>
    <d v="1974-06-29T17:24:00"/>
  </r>
  <r>
    <n v="189"/>
    <s v="Anthony-Shaw"/>
    <s v="Switchable contextually-based access"/>
    <n v="191300"/>
    <n v="45004"/>
    <x v="3"/>
    <n v="441"/>
    <s v="US"/>
    <s v="USD"/>
    <n v="1457071200"/>
    <n v="1457071200"/>
    <b v="0"/>
    <b v="0"/>
    <s v="theater/plays"/>
    <n v="23.525352848928385"/>
    <n v="102.0498866213152"/>
    <x v="3"/>
    <s v="plays"/>
    <x v="186"/>
    <d v="1974-08-14T10:12:00"/>
  </r>
  <r>
    <n v="190"/>
    <s v="Cook LLC"/>
    <s v="Up-sized dynamic throughput"/>
    <n v="3700"/>
    <n v="2538"/>
    <x v="0"/>
    <n v="24"/>
    <s v="US"/>
    <s v="USD"/>
    <n v="1370322000"/>
    <n v="1370408400"/>
    <b v="0"/>
    <b v="1"/>
    <s v="theater/plays"/>
    <n v="68.594594594594597"/>
    <n v="105.75"/>
    <x v="3"/>
    <s v="plays"/>
    <x v="187"/>
    <d v="1974-05-06T02:54:00"/>
  </r>
  <r>
    <n v="191"/>
    <s v="Sutton PLC"/>
    <s v="Mandatory reciprocal superstructure"/>
    <n v="8400"/>
    <n v="3188"/>
    <x v="0"/>
    <n v="86"/>
    <s v="IT"/>
    <s v="EUR"/>
    <n v="1552366800"/>
    <n v="1552626000"/>
    <b v="0"/>
    <b v="0"/>
    <s v="theater/plays"/>
    <n v="37.952380952380956"/>
    <n v="37.069767441860463"/>
    <x v="3"/>
    <s v="plays"/>
    <x v="188"/>
    <d v="1974-12-03T00:30:00"/>
  </r>
  <r>
    <n v="192"/>
    <s v="Long, Morgan and Mitchell"/>
    <s v="Upgradable 4thgeneration productivity"/>
    <n v="42600"/>
    <n v="8517"/>
    <x v="0"/>
    <n v="243"/>
    <s v="US"/>
    <s v="USD"/>
    <n v="1403845200"/>
    <n v="1404190800"/>
    <b v="0"/>
    <b v="0"/>
    <s v="music/rock"/>
    <n v="19.992957746478872"/>
    <n v="35.049382716049379"/>
    <x v="1"/>
    <s v="rock"/>
    <x v="189"/>
    <d v="1974-06-14T05:18:00"/>
  </r>
  <r>
    <n v="193"/>
    <s v="Calhoun, Rogers and Long"/>
    <s v="Progressive discrete hub"/>
    <n v="6600"/>
    <n v="3012"/>
    <x v="0"/>
    <n v="65"/>
    <s v="US"/>
    <s v="USD"/>
    <n v="1523163600"/>
    <n v="1523509200"/>
    <b v="1"/>
    <b v="0"/>
    <s v="music/indie rock"/>
    <n v="45.636363636363633"/>
    <n v="46.338461538461537"/>
    <x v="1"/>
    <s v="indie rock"/>
    <x v="190"/>
    <d v="1974-10-30T07:42:00"/>
  </r>
  <r>
    <n v="194"/>
    <s v="Sandoval Group"/>
    <s v="Assimilated multi-tasking archive"/>
    <n v="7100"/>
    <n v="8716"/>
    <x v="1"/>
    <n v="126"/>
    <s v="US"/>
    <s v="USD"/>
    <n v="1442206800"/>
    <n v="1443589200"/>
    <b v="0"/>
    <b v="0"/>
    <s v="music/metal"/>
    <n v="122.7605633802817"/>
    <n v="69.174603174603178"/>
    <x v="1"/>
    <s v="metal"/>
    <x v="191"/>
    <d v="1974-07-29T19:42:00"/>
  </r>
  <r>
    <n v="195"/>
    <s v="Smith and Sons"/>
    <s v="Upgradable high-level solution"/>
    <n v="15800"/>
    <n v="57157"/>
    <x v="1"/>
    <n v="524"/>
    <s v="US"/>
    <s v="USD"/>
    <n v="1532840400"/>
    <n v="1533445200"/>
    <b v="0"/>
    <b v="0"/>
    <s v="music/electric music"/>
    <n v="361.75316455696202"/>
    <n v="109.07824427480917"/>
    <x v="1"/>
    <s v="electric music"/>
    <x v="192"/>
    <d v="1974-11-10T19:42:00"/>
  </r>
  <r>
    <n v="196"/>
    <s v="King Inc"/>
    <s v="Organic bandwidth-monitored frame"/>
    <n v="8200"/>
    <n v="5178"/>
    <x v="0"/>
    <n v="100"/>
    <s v="DK"/>
    <s v="DKK"/>
    <n v="1472878800"/>
    <n v="1474520400"/>
    <b v="0"/>
    <b v="0"/>
    <s v="technology/wearables"/>
    <n v="63.146341463414636"/>
    <n v="51.78"/>
    <x v="2"/>
    <s v="wearables"/>
    <x v="173"/>
    <d v="1974-09-03T14:54:00"/>
  </r>
  <r>
    <n v="197"/>
    <s v="Perry and Sons"/>
    <s v="Business-focused logistical framework"/>
    <n v="54700"/>
    <n v="163118"/>
    <x v="1"/>
    <n v="1989"/>
    <s v="US"/>
    <s v="USD"/>
    <n v="1498194000"/>
    <n v="1499403600"/>
    <b v="0"/>
    <b v="0"/>
    <s v="film &amp; video/drama"/>
    <n v="298.20475319926874"/>
    <n v="82.010055304172951"/>
    <x v="4"/>
    <s v="drama"/>
    <x v="193"/>
    <d v="1974-10-02T10:06:00"/>
  </r>
  <r>
    <n v="198"/>
    <s v="Palmer Inc"/>
    <s v="Universal multi-state capability"/>
    <n v="63200"/>
    <n v="6041"/>
    <x v="0"/>
    <n v="168"/>
    <s v="US"/>
    <s v="USD"/>
    <n v="1281070800"/>
    <n v="1283576400"/>
    <b v="0"/>
    <b v="0"/>
    <s v="music/electric music"/>
    <n v="9.5585443037974684"/>
    <n v="35.958333333333336"/>
    <x v="1"/>
    <s v="electric music"/>
    <x v="194"/>
    <d v="1974-01-25T14:54:00"/>
  </r>
  <r>
    <n v="199"/>
    <s v="Hull, Baker and Martinez"/>
    <s v="Digitized reciprocal infrastructure"/>
    <n v="1800"/>
    <n v="968"/>
    <x v="0"/>
    <n v="13"/>
    <s v="US"/>
    <s v="USD"/>
    <n v="1436245200"/>
    <n v="1436590800"/>
    <b v="0"/>
    <b v="0"/>
    <s v="music/rock"/>
    <n v="53.777777777777779"/>
    <n v="74.461538461538467"/>
    <x v="1"/>
    <s v="rock"/>
    <x v="195"/>
    <d v="1974-07-21T17:18:00"/>
  </r>
  <r>
    <n v="200"/>
    <s v="Becker, Rice and White"/>
    <s v="Reduced dedicated capability"/>
    <n v="100"/>
    <n v="2"/>
    <x v="0"/>
    <n v="1"/>
    <s v="CA"/>
    <s v="CAD"/>
    <n v="1269493200"/>
    <n v="1270443600"/>
    <b v="0"/>
    <b v="0"/>
    <s v="theater/plays"/>
    <n v="2"/>
    <n v="2"/>
    <x v="3"/>
    <s v="plays"/>
    <x v="152"/>
    <d v="1974-01-10T10:06:00"/>
  </r>
  <r>
    <n v="201"/>
    <s v="Osborne, Perkins and Knox"/>
    <s v="Cross-platform bi-directional workforce"/>
    <n v="2100"/>
    <n v="14305"/>
    <x v="1"/>
    <n v="157"/>
    <s v="US"/>
    <s v="USD"/>
    <n v="1406264400"/>
    <n v="1407819600"/>
    <b v="0"/>
    <b v="0"/>
    <s v="technology/web"/>
    <n v="681.19047619047615"/>
    <n v="91.114649681528661"/>
    <x v="2"/>
    <s v="web"/>
    <x v="196"/>
    <d v="1974-06-18T10:06:00"/>
  </r>
  <r>
    <n v="202"/>
    <s v="Mcknight-Freeman"/>
    <s v="Upgradable scalable methodology"/>
    <n v="8300"/>
    <n v="6543"/>
    <x v="3"/>
    <n v="82"/>
    <s v="US"/>
    <s v="USD"/>
    <n v="1317531600"/>
    <n v="1317877200"/>
    <b v="0"/>
    <b v="0"/>
    <s v="food/food trucks"/>
    <n v="78.831325301204828"/>
    <n v="79.792682926829272"/>
    <x v="0"/>
    <s v="food trucks"/>
    <x v="197"/>
    <d v="1974-03-06T07:42:00"/>
  </r>
  <r>
    <n v="203"/>
    <s v="Hayden, Shannon and Stein"/>
    <s v="Customer-focused client-server service-desk"/>
    <n v="143900"/>
    <n v="193413"/>
    <x v="1"/>
    <n v="4498"/>
    <s v="AU"/>
    <s v="AUD"/>
    <n v="1484632800"/>
    <n v="1484805600"/>
    <b v="0"/>
    <b v="0"/>
    <s v="theater/plays"/>
    <n v="134.40792216817235"/>
    <n v="42.999777678968428"/>
    <x v="3"/>
    <s v="plays"/>
    <x v="198"/>
    <d v="1974-09-15T12:36:00"/>
  </r>
  <r>
    <n v="204"/>
    <s v="Daniel-Luna"/>
    <s v="Mandatory multimedia leverage"/>
    <n v="75000"/>
    <n v="2529"/>
    <x v="0"/>
    <n v="40"/>
    <s v="US"/>
    <s v="USD"/>
    <n v="1301806800"/>
    <n v="1302670800"/>
    <b v="0"/>
    <b v="0"/>
    <s v="music/jazz"/>
    <n v="3.3719999999999999"/>
    <n v="63.225000000000001"/>
    <x v="1"/>
    <s v="jazz"/>
    <x v="199"/>
    <d v="1974-02-16T17:18:00"/>
  </r>
  <r>
    <n v="205"/>
    <s v="Weaver-Marquez"/>
    <s v="Focused analyzing circuit"/>
    <n v="1300"/>
    <n v="5614"/>
    <x v="1"/>
    <n v="80"/>
    <s v="US"/>
    <s v="USD"/>
    <n v="1539752400"/>
    <n v="1540789200"/>
    <b v="1"/>
    <b v="0"/>
    <s v="theater/plays"/>
    <n v="431.84615384615387"/>
    <n v="70.174999999999997"/>
    <x v="3"/>
    <s v="plays"/>
    <x v="200"/>
    <d v="1974-11-19T07:42:00"/>
  </r>
  <r>
    <n v="206"/>
    <s v="Austin, Baker and Kelley"/>
    <s v="Fundamental grid-enabled strategy"/>
    <n v="9000"/>
    <n v="3496"/>
    <x v="3"/>
    <n v="57"/>
    <s v="US"/>
    <s v="USD"/>
    <n v="1267250400"/>
    <n v="1268028000"/>
    <b v="0"/>
    <b v="0"/>
    <s v="publishing/fiction"/>
    <n v="38.844444444444441"/>
    <n v="61.333333333333336"/>
    <x v="5"/>
    <s v="fiction"/>
    <x v="201"/>
    <d v="1974-01-07T15:00:00"/>
  </r>
  <r>
    <n v="207"/>
    <s v="Carney-Anderson"/>
    <s v="Digitized 5thgeneration knowledgebase"/>
    <n v="1000"/>
    <n v="4257"/>
    <x v="1"/>
    <n v="43"/>
    <s v="US"/>
    <s v="USD"/>
    <n v="1535432400"/>
    <n v="1537160400"/>
    <b v="0"/>
    <b v="1"/>
    <s v="music/rock"/>
    <n v="425.7"/>
    <n v="99"/>
    <x v="1"/>
    <s v="rock"/>
    <x v="202"/>
    <d v="1974-11-15T02:54:00"/>
  </r>
  <r>
    <n v="208"/>
    <s v="Jackson Inc"/>
    <s v="Mandatory multi-tasking encryption"/>
    <n v="196900"/>
    <n v="199110"/>
    <x v="1"/>
    <n v="2053"/>
    <s v="US"/>
    <s v="USD"/>
    <n v="1510207200"/>
    <n v="1512280800"/>
    <b v="0"/>
    <b v="0"/>
    <s v="film &amp; video/documentary"/>
    <n v="101.12239715591672"/>
    <n v="96.984900146127615"/>
    <x v="4"/>
    <s v="documentary"/>
    <x v="203"/>
    <d v="1974-10-17T07:48:00"/>
  </r>
  <r>
    <n v="209"/>
    <s v="Warren Ltd"/>
    <s v="Distributed system-worthy application"/>
    <n v="194500"/>
    <n v="41212"/>
    <x v="2"/>
    <n v="808"/>
    <s v="AU"/>
    <s v="AUD"/>
    <n v="1462510800"/>
    <n v="1463115600"/>
    <b v="0"/>
    <b v="0"/>
    <s v="film &amp; video/documentary"/>
    <n v="21.188688946015425"/>
    <n v="51.004950495049506"/>
    <x v="4"/>
    <s v="documentary"/>
    <x v="204"/>
    <d v="1974-08-21T10:06:00"/>
  </r>
  <r>
    <n v="210"/>
    <s v="Schultz Inc"/>
    <s v="Synergistic tertiary time-frame"/>
    <n v="9400"/>
    <n v="6338"/>
    <x v="0"/>
    <n v="226"/>
    <s v="DK"/>
    <s v="DKK"/>
    <n v="1488520800"/>
    <n v="1490850000"/>
    <b v="0"/>
    <b v="0"/>
    <s v="film &amp; video/science fiction"/>
    <n v="67.425531914893625"/>
    <n v="28.044247787610619"/>
    <x v="4"/>
    <s v="science fiction"/>
    <x v="205"/>
    <d v="1974-09-22T12:30:00"/>
  </r>
  <r>
    <n v="211"/>
    <s v="Thompson LLC"/>
    <s v="Customer-focused impactful benchmark"/>
    <n v="104400"/>
    <n v="99100"/>
    <x v="0"/>
    <n v="1625"/>
    <s v="US"/>
    <s v="USD"/>
    <n v="1377579600"/>
    <n v="1379653200"/>
    <b v="0"/>
    <b v="0"/>
    <s v="theater/plays"/>
    <n v="94.923371647509583"/>
    <n v="60.984615384615381"/>
    <x v="3"/>
    <s v="plays"/>
    <x v="206"/>
    <d v="1974-05-16T19:42:00"/>
  </r>
  <r>
    <n v="212"/>
    <s v="Johnson Inc"/>
    <s v="Profound next generation infrastructure"/>
    <n v="8100"/>
    <n v="12300"/>
    <x v="1"/>
    <n v="168"/>
    <s v="US"/>
    <s v="USD"/>
    <n v="1576389600"/>
    <n v="1580364000"/>
    <b v="0"/>
    <b v="0"/>
    <s v="theater/plays"/>
    <n v="151.85185185185185"/>
    <n v="73.214285714285708"/>
    <x v="3"/>
    <s v="plays"/>
    <x v="207"/>
    <d v="1975-01-04T03:00:00"/>
  </r>
  <r>
    <n v="213"/>
    <s v="Morgan-Warren"/>
    <s v="Face-to-face encompassing info-mediaries"/>
    <n v="87900"/>
    <n v="171549"/>
    <x v="1"/>
    <n v="4289"/>
    <s v="US"/>
    <s v="USD"/>
    <n v="1289019600"/>
    <n v="1289714400"/>
    <b v="0"/>
    <b v="1"/>
    <s v="music/indie rock"/>
    <n v="195.16382252559728"/>
    <n v="39.997435299603637"/>
    <x v="1"/>
    <s v="indie rock"/>
    <x v="208"/>
    <d v="1974-02-01T17:24:00"/>
  </r>
  <r>
    <n v="214"/>
    <s v="Sullivan Group"/>
    <s v="Open-source fresh-thinking policy"/>
    <n v="1400"/>
    <n v="14324"/>
    <x v="1"/>
    <n v="165"/>
    <s v="US"/>
    <s v="USD"/>
    <n v="1282194000"/>
    <n v="1282712400"/>
    <b v="0"/>
    <b v="0"/>
    <s v="music/rock"/>
    <n v="1023.1428571428571"/>
    <n v="86.812121212121212"/>
    <x v="1"/>
    <s v="rock"/>
    <x v="209"/>
    <d v="1974-01-24T14:54:00"/>
  </r>
  <r>
    <n v="215"/>
    <s v="Vargas, Banks and Palmer"/>
    <s v="Extended 24/7 implementation"/>
    <n v="156800"/>
    <n v="6024"/>
    <x v="0"/>
    <n v="143"/>
    <s v="US"/>
    <s v="USD"/>
    <n v="1550037600"/>
    <n v="1550210400"/>
    <b v="0"/>
    <b v="0"/>
    <s v="theater/plays"/>
    <n v="3.841836734693878"/>
    <n v="42.125874125874127"/>
    <x v="3"/>
    <s v="plays"/>
    <x v="210"/>
    <d v="1974-11-30T05:24:00"/>
  </r>
  <r>
    <n v="216"/>
    <s v="Johnson, Dixon and Zimmerman"/>
    <s v="Organic dynamic algorithm"/>
    <n v="121700"/>
    <n v="188721"/>
    <x v="1"/>
    <n v="1815"/>
    <s v="US"/>
    <s v="USD"/>
    <n v="1321941600"/>
    <n v="1322114400"/>
    <b v="0"/>
    <b v="0"/>
    <s v="theater/plays"/>
    <n v="155.07066557107643"/>
    <n v="103.97851239669421"/>
    <x v="3"/>
    <s v="plays"/>
    <x v="211"/>
    <d v="1974-03-11T05:24:00"/>
  </r>
  <r>
    <n v="217"/>
    <s v="Moore, Dudley and Navarro"/>
    <s v="Organic multi-tasking focus group"/>
    <n v="129400"/>
    <n v="57911"/>
    <x v="0"/>
    <n v="934"/>
    <s v="US"/>
    <s v="USD"/>
    <n v="1556427600"/>
    <n v="1557205200"/>
    <b v="0"/>
    <b v="0"/>
    <s v="film &amp; video/science fiction"/>
    <n v="44.753477588871718"/>
    <n v="62.003211991434689"/>
    <x v="4"/>
    <s v="science fiction"/>
    <x v="212"/>
    <d v="1974-12-08T07:42:00"/>
  </r>
  <r>
    <n v="218"/>
    <s v="Price-Rodriguez"/>
    <s v="Adaptive logistical initiative"/>
    <n v="5700"/>
    <n v="12309"/>
    <x v="1"/>
    <n v="397"/>
    <s v="GB"/>
    <s v="GBP"/>
    <n v="1320991200"/>
    <n v="1323928800"/>
    <b v="0"/>
    <b v="1"/>
    <s v="film &amp; video/shorts"/>
    <n v="215.94736842105263"/>
    <n v="31.005037783375315"/>
    <x v="4"/>
    <s v="shorts"/>
    <x v="213"/>
    <d v="1974-03-13T07:48:00"/>
  </r>
  <r>
    <n v="219"/>
    <s v="Huang-Henderson"/>
    <s v="Stand-alone mobile customer loyalty"/>
    <n v="41700"/>
    <n v="138497"/>
    <x v="1"/>
    <n v="1539"/>
    <s v="US"/>
    <s v="USD"/>
    <n v="1345093200"/>
    <n v="1346130000"/>
    <b v="0"/>
    <b v="0"/>
    <s v="film &amp; video/animation"/>
    <n v="332.12709832134288"/>
    <n v="89.991552956465242"/>
    <x v="4"/>
    <s v="animation"/>
    <x v="214"/>
    <d v="1974-04-08T00:30:00"/>
  </r>
  <r>
    <n v="220"/>
    <s v="Owens-Le"/>
    <s v="Focused composite approach"/>
    <n v="7900"/>
    <n v="667"/>
    <x v="0"/>
    <n v="17"/>
    <s v="US"/>
    <s v="USD"/>
    <n v="1309496400"/>
    <n v="1311051600"/>
    <b v="1"/>
    <b v="0"/>
    <s v="theater/plays"/>
    <n v="8.4430379746835449"/>
    <n v="39.235294117647058"/>
    <x v="3"/>
    <s v="plays"/>
    <x v="215"/>
    <d v="1974-02-26T10:06:00"/>
  </r>
  <r>
    <n v="221"/>
    <s v="Huff LLC"/>
    <s v="Face-to-face clear-thinking Local Area Network"/>
    <n v="121500"/>
    <n v="119830"/>
    <x v="0"/>
    <n v="2179"/>
    <s v="US"/>
    <s v="USD"/>
    <n v="1340254800"/>
    <n v="1340427600"/>
    <b v="1"/>
    <b v="0"/>
    <s v="food/food trucks"/>
    <n v="98.625514403292186"/>
    <n v="54.993116108306566"/>
    <x v="0"/>
    <s v="food trucks"/>
    <x v="216"/>
    <d v="1974-04-01T10:06:00"/>
  </r>
  <r>
    <n v="222"/>
    <s v="Johnson LLC"/>
    <s v="Cross-group cohesive circuit"/>
    <n v="4800"/>
    <n v="6623"/>
    <x v="1"/>
    <n v="138"/>
    <s v="US"/>
    <s v="USD"/>
    <n v="1412226000"/>
    <n v="1412312400"/>
    <b v="0"/>
    <b v="0"/>
    <s v="photography/photography books"/>
    <n v="137.97916666666669"/>
    <n v="47.992753623188406"/>
    <x v="7"/>
    <s v="photography books"/>
    <x v="217"/>
    <d v="1974-06-23T14:54:00"/>
  </r>
  <r>
    <n v="223"/>
    <s v="Chavez, Garcia and Cantu"/>
    <s v="Synergistic explicit capability"/>
    <n v="87300"/>
    <n v="81897"/>
    <x v="0"/>
    <n v="931"/>
    <s v="US"/>
    <s v="USD"/>
    <n v="1458104400"/>
    <n v="1459314000"/>
    <b v="0"/>
    <b v="0"/>
    <s v="theater/plays"/>
    <n v="93.81099656357388"/>
    <n v="87.966702470461868"/>
    <x v="3"/>
    <s v="plays"/>
    <x v="218"/>
    <d v="1974-08-17T00:30:00"/>
  </r>
  <r>
    <n v="224"/>
    <s v="Lester-Moore"/>
    <s v="Diverse analyzing definition"/>
    <n v="46300"/>
    <n v="186885"/>
    <x v="1"/>
    <n v="3594"/>
    <s v="US"/>
    <s v="USD"/>
    <n v="1411534800"/>
    <n v="1415426400"/>
    <b v="0"/>
    <b v="0"/>
    <s v="film &amp; video/science fiction"/>
    <n v="403.63930885529157"/>
    <n v="51.999165275459099"/>
    <x v="4"/>
    <s v="science fiction"/>
    <x v="219"/>
    <d v="1974-06-27T05:24:00"/>
  </r>
  <r>
    <n v="225"/>
    <s v="Fox-Quinn"/>
    <s v="Enterprise-wide reciprocal success"/>
    <n v="67800"/>
    <n v="176398"/>
    <x v="1"/>
    <n v="5880"/>
    <s v="US"/>
    <s v="USD"/>
    <n v="1399093200"/>
    <n v="1399093200"/>
    <b v="1"/>
    <b v="0"/>
    <s v="music/rock"/>
    <n v="260.1740412979351"/>
    <n v="29.999659863945578"/>
    <x v="1"/>
    <s v="rock"/>
    <x v="220"/>
    <d v="1974-06-08T07:42:00"/>
  </r>
  <r>
    <n v="226"/>
    <s v="Garcia Inc"/>
    <s v="Progressive neutral middleware"/>
    <n v="3000"/>
    <n v="10999"/>
    <x v="1"/>
    <n v="112"/>
    <s v="US"/>
    <s v="USD"/>
    <n v="1270702800"/>
    <n v="1273899600"/>
    <b v="0"/>
    <b v="0"/>
    <s v="photography/photography books"/>
    <n v="366.63333333333333"/>
    <n v="98.205357142857139"/>
    <x v="7"/>
    <s v="photography books"/>
    <x v="221"/>
    <d v="1974-01-14T10:06:00"/>
  </r>
  <r>
    <n v="227"/>
    <s v="Johnson-Lee"/>
    <s v="Intuitive exuding process improvement"/>
    <n v="60900"/>
    <n v="102751"/>
    <x v="1"/>
    <n v="943"/>
    <s v="US"/>
    <s v="USD"/>
    <n v="1431666000"/>
    <n v="1432184400"/>
    <b v="0"/>
    <b v="0"/>
    <s v="games/mobile games"/>
    <n v="168.72085385878489"/>
    <n v="108.96182396606575"/>
    <x v="6"/>
    <s v="mobile games"/>
    <x v="222"/>
    <d v="1974-07-16T14:54:00"/>
  </r>
  <r>
    <n v="228"/>
    <s v="Pineda Group"/>
    <s v="Exclusive real-time protocol"/>
    <n v="137900"/>
    <n v="165352"/>
    <x v="1"/>
    <n v="2468"/>
    <s v="US"/>
    <s v="USD"/>
    <n v="1472619600"/>
    <n v="1474779600"/>
    <b v="0"/>
    <b v="0"/>
    <s v="film &amp; video/animation"/>
    <n v="119.90717911530093"/>
    <n v="66.998379254457049"/>
    <x v="4"/>
    <s v="animation"/>
    <x v="172"/>
    <d v="1974-09-03T22:06:00"/>
  </r>
  <r>
    <n v="229"/>
    <s v="Hoffman-Howard"/>
    <s v="Extended encompassing application"/>
    <n v="85600"/>
    <n v="165798"/>
    <x v="1"/>
    <n v="2551"/>
    <s v="US"/>
    <s v="USD"/>
    <n v="1496293200"/>
    <n v="1500440400"/>
    <b v="0"/>
    <b v="1"/>
    <s v="games/mobile games"/>
    <n v="193.68925233644859"/>
    <n v="64.99333594668758"/>
    <x v="6"/>
    <s v="mobile games"/>
    <x v="223"/>
    <d v="1974-10-03T14:54:00"/>
  </r>
  <r>
    <n v="230"/>
    <s v="Miranda, Hall and Mcgrath"/>
    <s v="Progressive value-added ability"/>
    <n v="2400"/>
    <n v="10084"/>
    <x v="1"/>
    <n v="101"/>
    <s v="US"/>
    <s v="USD"/>
    <n v="1575612000"/>
    <n v="1575612000"/>
    <b v="0"/>
    <b v="0"/>
    <s v="games/video games"/>
    <n v="420.16666666666669"/>
    <n v="99.841584158415841"/>
    <x v="6"/>
    <s v="video games"/>
    <x v="224"/>
    <d v="1974-12-29T15:00:00"/>
  </r>
  <r>
    <n v="231"/>
    <s v="Williams, Carter and Gonzalez"/>
    <s v="Cross-platform uniform hardware"/>
    <n v="7200"/>
    <n v="5523"/>
    <x v="3"/>
    <n v="67"/>
    <s v="US"/>
    <s v="USD"/>
    <n v="1369112400"/>
    <n v="1374123600"/>
    <b v="0"/>
    <b v="0"/>
    <s v="theater/plays"/>
    <n v="76.708333333333329"/>
    <n v="82.432835820895519"/>
    <x v="3"/>
    <s v="plays"/>
    <x v="225"/>
    <d v="1974-05-10T10:06:00"/>
  </r>
  <r>
    <n v="232"/>
    <s v="Davis-Rodriguez"/>
    <s v="Progressive secondary portal"/>
    <n v="3400"/>
    <n v="5823"/>
    <x v="1"/>
    <n v="92"/>
    <s v="US"/>
    <s v="USD"/>
    <n v="1469422800"/>
    <n v="1469509200"/>
    <b v="0"/>
    <b v="0"/>
    <s v="theater/plays"/>
    <n v="171.26470588235293"/>
    <n v="63.293478260869563"/>
    <x v="3"/>
    <s v="plays"/>
    <x v="226"/>
    <d v="1974-08-28T19:42:00"/>
  </r>
  <r>
    <n v="233"/>
    <s v="Reid, Rivera and Perry"/>
    <s v="Multi-lateral national adapter"/>
    <n v="3800"/>
    <n v="6000"/>
    <x v="1"/>
    <n v="62"/>
    <s v="US"/>
    <s v="USD"/>
    <n v="1307854800"/>
    <n v="1309237200"/>
    <b v="0"/>
    <b v="0"/>
    <s v="film &amp; video/animation"/>
    <n v="157.89473684210526"/>
    <n v="96.774193548387103"/>
    <x v="4"/>
    <s v="animation"/>
    <x v="227"/>
    <d v="1974-02-24T07:42:00"/>
  </r>
  <r>
    <n v="234"/>
    <s v="Mendoza-Parker"/>
    <s v="Enterprise-wide motivating matrices"/>
    <n v="7500"/>
    <n v="8181"/>
    <x v="1"/>
    <n v="149"/>
    <s v="IT"/>
    <s v="EUR"/>
    <n v="1503378000"/>
    <n v="1503982800"/>
    <b v="0"/>
    <b v="1"/>
    <s v="games/video games"/>
    <n v="109.08"/>
    <n v="54.906040268456373"/>
    <x v="6"/>
    <s v="video games"/>
    <x v="228"/>
    <d v="1974-10-07T17:18:00"/>
  </r>
  <r>
    <n v="235"/>
    <s v="Lee, Ali and Guzman"/>
    <s v="Polarized upward-trending Local Area Network"/>
    <n v="8600"/>
    <n v="3589"/>
    <x v="0"/>
    <n v="92"/>
    <s v="US"/>
    <s v="USD"/>
    <n v="1486965600"/>
    <n v="1487397600"/>
    <b v="0"/>
    <b v="0"/>
    <s v="film &amp; video/animation"/>
    <n v="41.732558139534881"/>
    <n v="39.010869565217391"/>
    <x v="4"/>
    <s v="animation"/>
    <x v="229"/>
    <d v="1974-09-18T12:36:00"/>
  </r>
  <r>
    <n v="236"/>
    <s v="Gallegos-Cobb"/>
    <s v="Object-based directional function"/>
    <n v="39500"/>
    <n v="4323"/>
    <x v="0"/>
    <n v="57"/>
    <s v="AU"/>
    <s v="AUD"/>
    <n v="1561438800"/>
    <n v="1562043600"/>
    <b v="0"/>
    <b v="1"/>
    <s v="music/rock"/>
    <n v="10.944303797468354"/>
    <n v="75.84210526315789"/>
    <x v="1"/>
    <s v="rock"/>
    <x v="230"/>
    <d v="1974-12-13T22:06:00"/>
  </r>
  <r>
    <n v="237"/>
    <s v="Ellison PLC"/>
    <s v="Re-contextualized tangible open architecture"/>
    <n v="9300"/>
    <n v="14822"/>
    <x v="1"/>
    <n v="329"/>
    <s v="US"/>
    <s v="USD"/>
    <n v="1398402000"/>
    <n v="1398574800"/>
    <b v="0"/>
    <b v="0"/>
    <s v="film &amp; video/animation"/>
    <n v="159.3763440860215"/>
    <n v="45.051671732522799"/>
    <x v="4"/>
    <s v="animation"/>
    <x v="231"/>
    <d v="1974-06-07T17:18:00"/>
  </r>
  <r>
    <n v="238"/>
    <s v="Bolton, Sanchez and Carrillo"/>
    <s v="Distributed systemic adapter"/>
    <n v="2400"/>
    <n v="10138"/>
    <x v="1"/>
    <n v="97"/>
    <s v="DK"/>
    <s v="DKK"/>
    <n v="1513231200"/>
    <n v="1515391200"/>
    <b v="0"/>
    <b v="1"/>
    <s v="theater/plays"/>
    <n v="422.41666666666669"/>
    <n v="104.51546391752578"/>
    <x v="3"/>
    <s v="plays"/>
    <x v="232"/>
    <d v="1974-10-20T22:12:00"/>
  </r>
  <r>
    <n v="239"/>
    <s v="Mason-Sanders"/>
    <s v="Networked web-enabled instruction set"/>
    <n v="3200"/>
    <n v="3127"/>
    <x v="0"/>
    <n v="41"/>
    <s v="US"/>
    <s v="USD"/>
    <n v="1440824400"/>
    <n v="1441170000"/>
    <b v="0"/>
    <b v="0"/>
    <s v="technology/wearables"/>
    <n v="97.71875"/>
    <n v="76.268292682926827"/>
    <x v="2"/>
    <s v="wearables"/>
    <x v="233"/>
    <d v="1974-07-27T00:30:00"/>
  </r>
  <r>
    <n v="240"/>
    <s v="Pitts-Reed"/>
    <s v="Vision-oriented dynamic service-desk"/>
    <n v="29400"/>
    <n v="123124"/>
    <x v="1"/>
    <n v="1784"/>
    <s v="US"/>
    <s v="USD"/>
    <n v="1281070800"/>
    <n v="1281157200"/>
    <b v="0"/>
    <b v="0"/>
    <s v="theater/plays"/>
    <n v="418.78911564625849"/>
    <n v="69.015695067264573"/>
    <x v="3"/>
    <s v="plays"/>
    <x v="194"/>
    <d v="1974-01-22T19:42:00"/>
  </r>
  <r>
    <n v="241"/>
    <s v="Gonzalez-Martinez"/>
    <s v="Vision-oriented actuating open system"/>
    <n v="168500"/>
    <n v="171729"/>
    <x v="1"/>
    <n v="1684"/>
    <s v="AU"/>
    <s v="AUD"/>
    <n v="1397365200"/>
    <n v="1398229200"/>
    <b v="0"/>
    <b v="1"/>
    <s v="publishing/nonfiction"/>
    <n v="101.91632047477745"/>
    <n v="101.97684085510689"/>
    <x v="5"/>
    <s v="nonfiction"/>
    <x v="234"/>
    <d v="1974-06-07T07:42:00"/>
  </r>
  <r>
    <n v="242"/>
    <s v="Hill, Martin and Garcia"/>
    <s v="Sharable scalable core"/>
    <n v="8400"/>
    <n v="10729"/>
    <x v="1"/>
    <n v="250"/>
    <s v="US"/>
    <s v="USD"/>
    <n v="1494392400"/>
    <n v="1495256400"/>
    <b v="0"/>
    <b v="1"/>
    <s v="music/rock"/>
    <n v="127.72619047619047"/>
    <n v="42.915999999999997"/>
    <x v="1"/>
    <s v="rock"/>
    <x v="235"/>
    <d v="1974-09-27T14:54:00"/>
  </r>
  <r>
    <n v="243"/>
    <s v="Garcia PLC"/>
    <s v="Customer-focused attitude-oriented function"/>
    <n v="2300"/>
    <n v="10240"/>
    <x v="1"/>
    <n v="238"/>
    <s v="US"/>
    <s v="USD"/>
    <n v="1520143200"/>
    <n v="1520402400"/>
    <b v="0"/>
    <b v="0"/>
    <s v="theater/plays"/>
    <n v="445.21739130434781"/>
    <n v="43.025210084033617"/>
    <x v="3"/>
    <s v="plays"/>
    <x v="236"/>
    <d v="1974-10-26T17:24:00"/>
  </r>
  <r>
    <n v="244"/>
    <s v="Herring-Bailey"/>
    <s v="Reverse-engineered system-worthy extranet"/>
    <n v="700"/>
    <n v="3988"/>
    <x v="1"/>
    <n v="53"/>
    <s v="US"/>
    <s v="USD"/>
    <n v="1405314000"/>
    <n v="1409806800"/>
    <b v="0"/>
    <b v="0"/>
    <s v="theater/plays"/>
    <n v="569.71428571428578"/>
    <n v="75.245283018867923"/>
    <x v="3"/>
    <s v="plays"/>
    <x v="237"/>
    <d v="1974-06-20T17:18:00"/>
  </r>
  <r>
    <n v="245"/>
    <s v="Russell-Gardner"/>
    <s v="Re-engineered systematic monitoring"/>
    <n v="2900"/>
    <n v="14771"/>
    <x v="1"/>
    <n v="214"/>
    <s v="US"/>
    <s v="USD"/>
    <n v="1396846800"/>
    <n v="1396933200"/>
    <b v="0"/>
    <b v="0"/>
    <s v="theater/plays"/>
    <n v="509.34482758620686"/>
    <n v="69.023364485981304"/>
    <x v="3"/>
    <s v="plays"/>
    <x v="238"/>
    <d v="1974-06-05T19:42:00"/>
  </r>
  <r>
    <n v="246"/>
    <s v="Walters-Carter"/>
    <s v="Seamless value-added standardization"/>
    <n v="4500"/>
    <n v="14649"/>
    <x v="1"/>
    <n v="222"/>
    <s v="US"/>
    <s v="USD"/>
    <n v="1375678800"/>
    <n v="1376024400"/>
    <b v="0"/>
    <b v="0"/>
    <s v="technology/web"/>
    <n v="325.5333333333333"/>
    <n v="65.986486486486484"/>
    <x v="2"/>
    <s v="web"/>
    <x v="239"/>
    <d v="1974-05-12T14:54:00"/>
  </r>
  <r>
    <n v="247"/>
    <s v="Johnson, Patterson and Montoya"/>
    <s v="Triple-buffered fresh-thinking frame"/>
    <n v="19800"/>
    <n v="184658"/>
    <x v="1"/>
    <n v="1884"/>
    <s v="US"/>
    <s v="USD"/>
    <n v="1482386400"/>
    <n v="1483682400"/>
    <b v="0"/>
    <b v="1"/>
    <s v="publishing/fiction"/>
    <n v="932.61616161616166"/>
    <n v="98.013800424628457"/>
    <x v="5"/>
    <s v="fiction"/>
    <x v="240"/>
    <d v="1974-09-14T05:24:00"/>
  </r>
  <r>
    <n v="248"/>
    <s v="Roberts and Sons"/>
    <s v="Streamlined holistic knowledgebase"/>
    <n v="6200"/>
    <n v="13103"/>
    <x v="1"/>
    <n v="218"/>
    <s v="AU"/>
    <s v="AUD"/>
    <n v="1420005600"/>
    <n v="1420437600"/>
    <b v="0"/>
    <b v="0"/>
    <s v="games/mobile games"/>
    <n v="211.33870967741933"/>
    <n v="60.105504587155963"/>
    <x v="6"/>
    <s v="mobile games"/>
    <x v="241"/>
    <d v="1974-07-03T00:36:00"/>
  </r>
  <r>
    <n v="249"/>
    <s v="Avila-Nelson"/>
    <s v="Up-sized intermediate website"/>
    <n v="61500"/>
    <n v="168095"/>
    <x v="1"/>
    <n v="6465"/>
    <s v="US"/>
    <s v="USD"/>
    <n v="1420178400"/>
    <n v="1420783200"/>
    <b v="0"/>
    <b v="0"/>
    <s v="publishing/translations"/>
    <n v="273.32520325203251"/>
    <n v="26.000773395204948"/>
    <x v="5"/>
    <s v="translations"/>
    <x v="242"/>
    <d v="1974-07-03T10:12:00"/>
  </r>
  <r>
    <n v="250"/>
    <s v="Robbins and Sons"/>
    <s v="Future-proofed directional synergy"/>
    <n v="100"/>
    <n v="3"/>
    <x v="0"/>
    <n v="1"/>
    <s v="US"/>
    <s v="USD"/>
    <n v="1264399200"/>
    <n v="1267423200"/>
    <b v="0"/>
    <b v="0"/>
    <s v="music/rock"/>
    <n v="3"/>
    <n v="3"/>
    <x v="1"/>
    <s v="rock"/>
    <x v="67"/>
    <d v="1974-01-06T22:12:00"/>
  </r>
  <r>
    <n v="251"/>
    <s v="Singleton Ltd"/>
    <s v="Enhanced user-facing function"/>
    <n v="7100"/>
    <n v="3840"/>
    <x v="0"/>
    <n v="101"/>
    <s v="US"/>
    <s v="USD"/>
    <n v="1355032800"/>
    <n v="1355205600"/>
    <b v="0"/>
    <b v="0"/>
    <s v="theater/plays"/>
    <n v="54.084507042253513"/>
    <n v="38.019801980198018"/>
    <x v="3"/>
    <s v="plays"/>
    <x v="243"/>
    <d v="1974-04-18T12:36:00"/>
  </r>
  <r>
    <n v="252"/>
    <s v="Perez PLC"/>
    <s v="Operative bandwidth-monitored interface"/>
    <n v="1000"/>
    <n v="6263"/>
    <x v="1"/>
    <n v="59"/>
    <s v="US"/>
    <s v="USD"/>
    <n v="1382677200"/>
    <n v="1383109200"/>
    <b v="0"/>
    <b v="0"/>
    <s v="theater/plays"/>
    <n v="626.29999999999995"/>
    <n v="106.15254237288136"/>
    <x v="3"/>
    <s v="plays"/>
    <x v="244"/>
    <d v="1974-05-20T19:42:00"/>
  </r>
  <r>
    <n v="253"/>
    <s v="Rogers, Jacobs and Jackson"/>
    <s v="Upgradable multi-state instruction set"/>
    <n v="121500"/>
    <n v="108161"/>
    <x v="0"/>
    <n v="1335"/>
    <s v="CA"/>
    <s v="CAD"/>
    <n v="1302238800"/>
    <n v="1303275600"/>
    <b v="0"/>
    <b v="0"/>
    <s v="film &amp; video/drama"/>
    <n v="89.021399176954731"/>
    <n v="81.019475655430711"/>
    <x v="4"/>
    <s v="drama"/>
    <x v="245"/>
    <d v="1974-02-17T10:06:00"/>
  </r>
  <r>
    <n v="254"/>
    <s v="Barry Group"/>
    <s v="De-engineered static Local Area Network"/>
    <n v="4600"/>
    <n v="8505"/>
    <x v="1"/>
    <n v="88"/>
    <s v="US"/>
    <s v="USD"/>
    <n v="1487656800"/>
    <n v="1487829600"/>
    <b v="0"/>
    <b v="0"/>
    <s v="publishing/nonfiction"/>
    <n v="184.89130434782609"/>
    <n v="96.647727272727266"/>
    <x v="5"/>
    <s v="nonfiction"/>
    <x v="246"/>
    <d v="1974-09-19T00:36:00"/>
  </r>
  <r>
    <n v="255"/>
    <s v="Rosales, Branch and Harmon"/>
    <s v="Upgradable grid-enabled superstructure"/>
    <n v="80500"/>
    <n v="96735"/>
    <x v="1"/>
    <n v="1697"/>
    <s v="US"/>
    <s v="USD"/>
    <n v="1297836000"/>
    <n v="1298268000"/>
    <b v="0"/>
    <b v="1"/>
    <s v="music/rock"/>
    <n v="120.16770186335404"/>
    <n v="57.003535651149086"/>
    <x v="1"/>
    <s v="rock"/>
    <x v="247"/>
    <d v="1974-02-11T15:00:00"/>
  </r>
  <r>
    <n v="256"/>
    <s v="Smith-Reid"/>
    <s v="Optimized actuating toolset"/>
    <n v="4100"/>
    <n v="959"/>
    <x v="0"/>
    <n v="15"/>
    <s v="GB"/>
    <s v="GBP"/>
    <n v="1453615200"/>
    <n v="1456812000"/>
    <b v="0"/>
    <b v="0"/>
    <s v="music/rock"/>
    <n v="23.390243902439025"/>
    <n v="63.93333333333333"/>
    <x v="1"/>
    <s v="rock"/>
    <x v="248"/>
    <d v="1974-08-14T03:00:00"/>
  </r>
  <r>
    <n v="257"/>
    <s v="Williams Inc"/>
    <s v="Decentralized exuding strategy"/>
    <n v="5700"/>
    <n v="8322"/>
    <x v="1"/>
    <n v="92"/>
    <s v="US"/>
    <s v="USD"/>
    <n v="1362463200"/>
    <n v="1363669200"/>
    <b v="0"/>
    <b v="0"/>
    <s v="theater/plays"/>
    <n v="146"/>
    <n v="90.456521739130437"/>
    <x v="3"/>
    <s v="plays"/>
    <x v="249"/>
    <d v="1974-04-28T07:42:00"/>
  </r>
  <r>
    <n v="258"/>
    <s v="Duncan, Mcdonald and Miller"/>
    <s v="Assimilated coherent hardware"/>
    <n v="5000"/>
    <n v="13424"/>
    <x v="1"/>
    <n v="186"/>
    <s v="US"/>
    <s v="USD"/>
    <n v="1481176800"/>
    <n v="1482904800"/>
    <b v="0"/>
    <b v="1"/>
    <s v="theater/plays"/>
    <n v="268.48"/>
    <n v="72.172043010752688"/>
    <x v="3"/>
    <s v="plays"/>
    <x v="250"/>
    <d v="1974-09-13T07:48:00"/>
  </r>
  <r>
    <n v="259"/>
    <s v="Watkins Ltd"/>
    <s v="Multi-channeled responsive implementation"/>
    <n v="1800"/>
    <n v="10755"/>
    <x v="1"/>
    <n v="138"/>
    <s v="US"/>
    <s v="USD"/>
    <n v="1354946400"/>
    <n v="1356588000"/>
    <b v="1"/>
    <b v="0"/>
    <s v="photography/photography books"/>
    <n v="597.5"/>
    <n v="77.934782608695656"/>
    <x v="7"/>
    <s v="photography books"/>
    <x v="251"/>
    <d v="1974-04-20T03:00:00"/>
  </r>
  <r>
    <n v="260"/>
    <s v="Allen-Jones"/>
    <s v="Centralized modular initiative"/>
    <n v="6300"/>
    <n v="9935"/>
    <x v="1"/>
    <n v="261"/>
    <s v="US"/>
    <s v="USD"/>
    <n v="1348808400"/>
    <n v="1349845200"/>
    <b v="0"/>
    <b v="0"/>
    <s v="music/rock"/>
    <n v="157.69841269841268"/>
    <n v="38.065134099616856"/>
    <x v="1"/>
    <s v="rock"/>
    <x v="136"/>
    <d v="1974-04-12T07:42:00"/>
  </r>
  <r>
    <n v="261"/>
    <s v="Mason-Smith"/>
    <s v="Reverse-engineered cohesive migration"/>
    <n v="84300"/>
    <n v="26303"/>
    <x v="0"/>
    <n v="454"/>
    <s v="US"/>
    <s v="USD"/>
    <n v="1282712400"/>
    <n v="1283058000"/>
    <b v="0"/>
    <b v="1"/>
    <s v="music/rock"/>
    <n v="31.201660735468568"/>
    <n v="57.936123348017624"/>
    <x v="1"/>
    <s v="rock"/>
    <x v="252"/>
    <d v="1974-01-25T00:30:00"/>
  </r>
  <r>
    <n v="262"/>
    <s v="Lloyd, Kennedy and Davis"/>
    <s v="Compatible multimedia hub"/>
    <n v="1700"/>
    <n v="5328"/>
    <x v="1"/>
    <n v="107"/>
    <s v="US"/>
    <s v="USD"/>
    <n v="1301979600"/>
    <n v="1304226000"/>
    <b v="0"/>
    <b v="1"/>
    <s v="music/indie rock"/>
    <n v="313.41176470588238"/>
    <n v="49.794392523364486"/>
    <x v="1"/>
    <s v="indie rock"/>
    <x v="253"/>
    <d v="1974-02-18T12:30:00"/>
  </r>
  <r>
    <n v="263"/>
    <s v="Walker Ltd"/>
    <s v="Organic eco-centric success"/>
    <n v="2900"/>
    <n v="10756"/>
    <x v="1"/>
    <n v="199"/>
    <s v="US"/>
    <s v="USD"/>
    <n v="1263016800"/>
    <n v="1263016800"/>
    <b v="0"/>
    <b v="0"/>
    <s v="photography/photography books"/>
    <n v="370.89655172413791"/>
    <n v="54.050251256281406"/>
    <x v="7"/>
    <s v="photography books"/>
    <x v="254"/>
    <d v="1974-01-01T19:48:00"/>
  </r>
  <r>
    <n v="264"/>
    <s v="Gordon PLC"/>
    <s v="Virtual reciprocal policy"/>
    <n v="45600"/>
    <n v="165375"/>
    <x v="1"/>
    <n v="5512"/>
    <s v="US"/>
    <s v="USD"/>
    <n v="1360648800"/>
    <n v="1362031200"/>
    <b v="0"/>
    <b v="0"/>
    <s v="theater/plays"/>
    <n v="362.66447368421052"/>
    <n v="30.002721335268504"/>
    <x v="3"/>
    <s v="plays"/>
    <x v="255"/>
    <d v="1974-04-26T10:12:00"/>
  </r>
  <r>
    <n v="265"/>
    <s v="Lee and Sons"/>
    <s v="Persevering interactive emulation"/>
    <n v="4900"/>
    <n v="6031"/>
    <x v="1"/>
    <n v="86"/>
    <s v="US"/>
    <s v="USD"/>
    <n v="1451800800"/>
    <n v="1455602400"/>
    <b v="0"/>
    <b v="0"/>
    <s v="theater/plays"/>
    <n v="123.08163265306122"/>
    <n v="70.127906976744185"/>
    <x v="3"/>
    <s v="plays"/>
    <x v="256"/>
    <d v="1974-08-12T17:24:00"/>
  </r>
  <r>
    <n v="266"/>
    <s v="Cole LLC"/>
    <s v="Proactive responsive emulation"/>
    <n v="111900"/>
    <n v="85902"/>
    <x v="0"/>
    <n v="3182"/>
    <s v="IT"/>
    <s v="EUR"/>
    <n v="1415340000"/>
    <n v="1418191200"/>
    <b v="0"/>
    <b v="1"/>
    <s v="music/jazz"/>
    <n v="76.766756032171585"/>
    <n v="26.996228786926462"/>
    <x v="1"/>
    <s v="jazz"/>
    <x v="257"/>
    <d v="1974-06-30T10:12:00"/>
  </r>
  <r>
    <n v="267"/>
    <s v="Acosta PLC"/>
    <s v="Extended eco-centric function"/>
    <n v="61600"/>
    <n v="143910"/>
    <x v="1"/>
    <n v="2768"/>
    <s v="AU"/>
    <s v="AUD"/>
    <n v="1351054800"/>
    <n v="1352440800"/>
    <b v="0"/>
    <b v="0"/>
    <s v="theater/plays"/>
    <n v="233.62012987012989"/>
    <n v="51.990606936416185"/>
    <x v="3"/>
    <s v="plays"/>
    <x v="258"/>
    <d v="1974-04-15T07:48:00"/>
  </r>
  <r>
    <n v="268"/>
    <s v="Brown-Mckee"/>
    <s v="Networked optimal productivity"/>
    <n v="1500"/>
    <n v="2708"/>
    <x v="1"/>
    <n v="48"/>
    <s v="US"/>
    <s v="USD"/>
    <n v="1349326800"/>
    <n v="1353304800"/>
    <b v="0"/>
    <b v="0"/>
    <s v="film &amp; video/documentary"/>
    <n v="180.53333333333333"/>
    <n v="56.416666666666664"/>
    <x v="4"/>
    <s v="documentary"/>
    <x v="259"/>
    <d v="1974-04-16T07:48:00"/>
  </r>
  <r>
    <n v="269"/>
    <s v="Miles and Sons"/>
    <s v="Persistent attitude-oriented approach"/>
    <n v="3500"/>
    <n v="8842"/>
    <x v="1"/>
    <n v="87"/>
    <s v="US"/>
    <s v="USD"/>
    <n v="1548914400"/>
    <n v="1550728800"/>
    <b v="0"/>
    <b v="0"/>
    <s v="film &amp; video/television"/>
    <n v="252.62857142857143"/>
    <n v="101.63218390804597"/>
    <x v="4"/>
    <s v="television"/>
    <x v="260"/>
    <d v="1974-11-30T19:48:00"/>
  </r>
  <r>
    <n v="270"/>
    <s v="Sawyer, Horton and Williams"/>
    <s v="Triple-buffered 4thgeneration toolset"/>
    <n v="173900"/>
    <n v="47260"/>
    <x v="3"/>
    <n v="1890"/>
    <s v="US"/>
    <s v="USD"/>
    <n v="1291269600"/>
    <n v="1291442400"/>
    <b v="0"/>
    <b v="0"/>
    <s v="games/video games"/>
    <n v="27.176538240368025"/>
    <n v="25.005291005291006"/>
    <x v="6"/>
    <s v="video games"/>
    <x v="261"/>
    <d v="1974-02-03T17:24:00"/>
  </r>
  <r>
    <n v="271"/>
    <s v="Foley-Cox"/>
    <s v="Progressive zero administration leverage"/>
    <n v="153700"/>
    <n v="1953"/>
    <x v="2"/>
    <n v="61"/>
    <s v="US"/>
    <s v="USD"/>
    <n v="1449468000"/>
    <n v="1452146400"/>
    <b v="0"/>
    <b v="0"/>
    <s v="photography/photography books"/>
    <n v="1.2706571242680547"/>
    <n v="32.016393442622949"/>
    <x v="7"/>
    <s v="photography books"/>
    <x v="262"/>
    <d v="1974-08-08T17:24:00"/>
  </r>
  <r>
    <n v="272"/>
    <s v="Horton, Morrison and Clark"/>
    <s v="Networked radical neural-net"/>
    <n v="51100"/>
    <n v="155349"/>
    <x v="1"/>
    <n v="1894"/>
    <s v="US"/>
    <s v="USD"/>
    <n v="1562734800"/>
    <n v="1564894800"/>
    <b v="0"/>
    <b v="1"/>
    <s v="theater/plays"/>
    <n v="304.0097847358121"/>
    <n v="82.021647307286173"/>
    <x v="3"/>
    <s v="plays"/>
    <x v="263"/>
    <d v="1974-12-17T05:18:00"/>
  </r>
  <r>
    <n v="273"/>
    <s v="Thomas and Sons"/>
    <s v="Re-engineered heuristic forecast"/>
    <n v="7800"/>
    <n v="10704"/>
    <x v="1"/>
    <n v="282"/>
    <s v="CA"/>
    <s v="CAD"/>
    <n v="1505624400"/>
    <n v="1505883600"/>
    <b v="0"/>
    <b v="0"/>
    <s v="theater/plays"/>
    <n v="137.23076923076923"/>
    <n v="37.957446808510639"/>
    <x v="3"/>
    <s v="plays"/>
    <x v="264"/>
    <d v="1974-10-09T22:06:00"/>
  </r>
  <r>
    <n v="274"/>
    <s v="Morgan-Jenkins"/>
    <s v="Fully-configurable background algorithm"/>
    <n v="2400"/>
    <n v="773"/>
    <x v="0"/>
    <n v="15"/>
    <s v="US"/>
    <s v="USD"/>
    <n v="1509948000"/>
    <n v="1510380000"/>
    <b v="0"/>
    <b v="0"/>
    <s v="theater/plays"/>
    <n v="32.208333333333336"/>
    <n v="51.533333333333331"/>
    <x v="3"/>
    <s v="plays"/>
    <x v="265"/>
    <d v="1974-10-15T03:00:00"/>
  </r>
  <r>
    <n v="275"/>
    <s v="Ward, Sanchez and Kemp"/>
    <s v="Stand-alone discrete Graphical User Interface"/>
    <n v="3900"/>
    <n v="9419"/>
    <x v="1"/>
    <n v="116"/>
    <s v="US"/>
    <s v="USD"/>
    <n v="1554526800"/>
    <n v="1555218000"/>
    <b v="0"/>
    <b v="0"/>
    <s v="publishing/translations"/>
    <n v="241.51282051282053"/>
    <n v="81.198275862068968"/>
    <x v="5"/>
    <s v="translations"/>
    <x v="266"/>
    <d v="1974-12-06T00:30:00"/>
  </r>
  <r>
    <n v="276"/>
    <s v="Fields Ltd"/>
    <s v="Front-line foreground project"/>
    <n v="5500"/>
    <n v="5324"/>
    <x v="0"/>
    <n v="133"/>
    <s v="US"/>
    <s v="USD"/>
    <n v="1334811600"/>
    <n v="1335243600"/>
    <b v="0"/>
    <b v="1"/>
    <s v="games/video games"/>
    <n v="96.8"/>
    <n v="40.030075187969928"/>
    <x v="6"/>
    <s v="video games"/>
    <x v="267"/>
    <d v="1974-03-26T10:06:00"/>
  </r>
  <r>
    <n v="277"/>
    <s v="Ramos-Mitchell"/>
    <s v="Persevering system-worthy info-mediaries"/>
    <n v="700"/>
    <n v="7465"/>
    <x v="1"/>
    <n v="83"/>
    <s v="US"/>
    <s v="USD"/>
    <n v="1279515600"/>
    <n v="1279688400"/>
    <b v="0"/>
    <b v="0"/>
    <s v="theater/plays"/>
    <n v="1066.4285714285716"/>
    <n v="89.939759036144579"/>
    <x v="3"/>
    <s v="plays"/>
    <x v="268"/>
    <d v="1974-01-21T02:54:00"/>
  </r>
  <r>
    <n v="278"/>
    <s v="Higgins, Davis and Salazar"/>
    <s v="Distributed multi-tasking strategy"/>
    <n v="2700"/>
    <n v="8799"/>
    <x v="1"/>
    <n v="91"/>
    <s v="US"/>
    <s v="USD"/>
    <n v="1353909600"/>
    <n v="1356069600"/>
    <b v="0"/>
    <b v="0"/>
    <s v="technology/web"/>
    <n v="325.88888888888891"/>
    <n v="96.692307692307693"/>
    <x v="2"/>
    <s v="web"/>
    <x v="269"/>
    <d v="1974-04-19T12:36:00"/>
  </r>
  <r>
    <n v="279"/>
    <s v="Smith-Jenkins"/>
    <s v="Vision-oriented methodical application"/>
    <n v="8000"/>
    <n v="13656"/>
    <x v="1"/>
    <n v="546"/>
    <s v="US"/>
    <s v="USD"/>
    <n v="1535950800"/>
    <n v="1536210000"/>
    <b v="0"/>
    <b v="0"/>
    <s v="theater/plays"/>
    <n v="170.70000000000002"/>
    <n v="25.010989010989011"/>
    <x v="3"/>
    <s v="plays"/>
    <x v="270"/>
    <d v="1974-11-14T00:30:00"/>
  </r>
  <r>
    <n v="280"/>
    <s v="Braun PLC"/>
    <s v="Function-based high-level infrastructure"/>
    <n v="2500"/>
    <n v="14536"/>
    <x v="1"/>
    <n v="393"/>
    <s v="US"/>
    <s v="USD"/>
    <n v="1511244000"/>
    <n v="1511762400"/>
    <b v="0"/>
    <b v="0"/>
    <s v="film &amp; video/animation"/>
    <n v="581.44000000000005"/>
    <n v="36.987277353689571"/>
    <x v="4"/>
    <s v="animation"/>
    <x v="271"/>
    <d v="1974-10-16T17:24:00"/>
  </r>
  <r>
    <n v="281"/>
    <s v="Drake PLC"/>
    <s v="Profound object-oriented paradigm"/>
    <n v="164500"/>
    <n v="150552"/>
    <x v="0"/>
    <n v="2062"/>
    <s v="US"/>
    <s v="USD"/>
    <n v="1331445600"/>
    <n v="1333256400"/>
    <b v="0"/>
    <b v="1"/>
    <s v="theater/plays"/>
    <n v="91.520972644376897"/>
    <n v="73.012609117361791"/>
    <x v="3"/>
    <s v="plays"/>
    <x v="272"/>
    <d v="1974-03-24T02:54:00"/>
  </r>
  <r>
    <n v="282"/>
    <s v="Ross, Kelly and Brown"/>
    <s v="Virtual contextually-based circuit"/>
    <n v="8400"/>
    <n v="9076"/>
    <x v="1"/>
    <n v="133"/>
    <s v="US"/>
    <s v="USD"/>
    <n v="1480226400"/>
    <n v="1480744800"/>
    <b v="0"/>
    <b v="1"/>
    <s v="film &amp; video/television"/>
    <n v="108.04761904761904"/>
    <n v="68.240601503759393"/>
    <x v="4"/>
    <s v="television"/>
    <x v="73"/>
    <d v="1974-09-10T19:48:00"/>
  </r>
  <r>
    <n v="283"/>
    <s v="Lucas-Mullins"/>
    <s v="Business-focused dynamic instruction set"/>
    <n v="8100"/>
    <n v="1517"/>
    <x v="0"/>
    <n v="29"/>
    <s v="DK"/>
    <s v="DKK"/>
    <n v="1464584400"/>
    <n v="1465016400"/>
    <b v="0"/>
    <b v="0"/>
    <s v="music/rock"/>
    <n v="18.728395061728396"/>
    <n v="52.310344827586206"/>
    <x v="1"/>
    <s v="rock"/>
    <x v="273"/>
    <d v="1974-08-23T14:54:00"/>
  </r>
  <r>
    <n v="284"/>
    <s v="Tran LLC"/>
    <s v="Ameliorated fresh-thinking protocol"/>
    <n v="9800"/>
    <n v="8153"/>
    <x v="0"/>
    <n v="132"/>
    <s v="US"/>
    <s v="USD"/>
    <n v="1335848400"/>
    <n v="1336280400"/>
    <b v="0"/>
    <b v="0"/>
    <s v="technology/web"/>
    <n v="83.193877551020407"/>
    <n v="61.765151515151516"/>
    <x v="2"/>
    <s v="web"/>
    <x v="274"/>
    <d v="1974-03-27T14:54:00"/>
  </r>
  <r>
    <n v="285"/>
    <s v="Dawson, Brady and Gilbert"/>
    <s v="Front-line optimizing emulation"/>
    <n v="900"/>
    <n v="6357"/>
    <x v="1"/>
    <n v="254"/>
    <s v="US"/>
    <s v="USD"/>
    <n v="1473483600"/>
    <n v="1476766800"/>
    <b v="0"/>
    <b v="0"/>
    <s v="theater/plays"/>
    <n v="706.33333333333337"/>
    <n v="25.027559055118111"/>
    <x v="3"/>
    <s v="plays"/>
    <x v="275"/>
    <d v="1974-09-06T05:18:00"/>
  </r>
  <r>
    <n v="286"/>
    <s v="Obrien-Aguirre"/>
    <s v="Devolved uniform complexity"/>
    <n v="112100"/>
    <n v="19557"/>
    <x v="3"/>
    <n v="184"/>
    <s v="US"/>
    <s v="USD"/>
    <n v="1479880800"/>
    <n v="1480485600"/>
    <b v="0"/>
    <b v="0"/>
    <s v="theater/plays"/>
    <n v="17.446030330062445"/>
    <n v="106.28804347826087"/>
    <x v="3"/>
    <s v="plays"/>
    <x v="276"/>
    <d v="1974-09-10T12:36:00"/>
  </r>
  <r>
    <n v="287"/>
    <s v="Ferguson PLC"/>
    <s v="Public-key intangible superstructure"/>
    <n v="6300"/>
    <n v="13213"/>
    <x v="1"/>
    <n v="176"/>
    <s v="US"/>
    <s v="USD"/>
    <n v="1430197200"/>
    <n v="1430197200"/>
    <b v="0"/>
    <b v="0"/>
    <s v="music/electric music"/>
    <n v="209.73015873015873"/>
    <n v="75.07386363636364"/>
    <x v="1"/>
    <s v="electric music"/>
    <x v="277"/>
    <d v="1974-07-14T07:42:00"/>
  </r>
  <r>
    <n v="288"/>
    <s v="Garcia Ltd"/>
    <s v="Secured global success"/>
    <n v="5600"/>
    <n v="5476"/>
    <x v="0"/>
    <n v="137"/>
    <s v="DK"/>
    <s v="DKK"/>
    <n v="1331701200"/>
    <n v="1331787600"/>
    <b v="0"/>
    <b v="1"/>
    <s v="music/metal"/>
    <n v="97.785714285714292"/>
    <n v="39.970802919708028"/>
    <x v="1"/>
    <s v="metal"/>
    <x v="278"/>
    <d v="1974-03-22T10:06:00"/>
  </r>
  <r>
    <n v="289"/>
    <s v="Smith, Love and Smith"/>
    <s v="Grass-roots mission-critical capability"/>
    <n v="800"/>
    <n v="13474"/>
    <x v="1"/>
    <n v="337"/>
    <s v="CA"/>
    <s v="CAD"/>
    <n v="1438578000"/>
    <n v="1438837200"/>
    <b v="0"/>
    <b v="0"/>
    <s v="theater/plays"/>
    <n v="1684.25"/>
    <n v="39.982195845697326"/>
    <x v="3"/>
    <s v="plays"/>
    <x v="279"/>
    <d v="1974-07-24T07:42:00"/>
  </r>
  <r>
    <n v="290"/>
    <s v="Wilson, Hall and Osborne"/>
    <s v="Advanced global data-warehouse"/>
    <n v="168600"/>
    <n v="91722"/>
    <x v="0"/>
    <n v="908"/>
    <s v="US"/>
    <s v="USD"/>
    <n v="1368162000"/>
    <n v="1370926800"/>
    <b v="0"/>
    <b v="1"/>
    <s v="film &amp; video/documentary"/>
    <n v="54.402135231316727"/>
    <n v="101.01541850220265"/>
    <x v="4"/>
    <s v="documentary"/>
    <x v="280"/>
    <d v="1974-05-06T17:18:00"/>
  </r>
  <r>
    <n v="291"/>
    <s v="Bell, Grimes and Kerr"/>
    <s v="Self-enabling uniform complexity"/>
    <n v="1800"/>
    <n v="8219"/>
    <x v="1"/>
    <n v="107"/>
    <s v="US"/>
    <s v="USD"/>
    <n v="1318654800"/>
    <n v="1319000400"/>
    <b v="1"/>
    <b v="0"/>
    <s v="technology/web"/>
    <n v="456.61111111111109"/>
    <n v="76.813084112149539"/>
    <x v="2"/>
    <s v="web"/>
    <x v="281"/>
    <d v="1974-03-07T14:54:00"/>
  </r>
  <r>
    <n v="292"/>
    <s v="Ho-Harris"/>
    <s v="Versatile cohesive encoding"/>
    <n v="7300"/>
    <n v="717"/>
    <x v="0"/>
    <n v="10"/>
    <s v="US"/>
    <s v="USD"/>
    <n v="1331874000"/>
    <n v="1333429200"/>
    <b v="0"/>
    <b v="0"/>
    <s v="food/food trucks"/>
    <n v="9.8219178082191778"/>
    <n v="71.7"/>
    <x v="0"/>
    <s v="food trucks"/>
    <x v="282"/>
    <d v="1974-03-24T07:42:00"/>
  </r>
  <r>
    <n v="293"/>
    <s v="Ross Group"/>
    <s v="Organized executive solution"/>
    <n v="6500"/>
    <n v="1065"/>
    <x v="3"/>
    <n v="32"/>
    <s v="IT"/>
    <s v="EUR"/>
    <n v="1286254800"/>
    <n v="1287032400"/>
    <b v="0"/>
    <b v="0"/>
    <s v="theater/plays"/>
    <n v="16.384615384615383"/>
    <n v="33.28125"/>
    <x v="3"/>
    <s v="plays"/>
    <x v="283"/>
    <d v="1974-01-29T14:54:00"/>
  </r>
  <r>
    <n v="294"/>
    <s v="Turner-Davis"/>
    <s v="Automated local emulation"/>
    <n v="600"/>
    <n v="8038"/>
    <x v="1"/>
    <n v="183"/>
    <s v="US"/>
    <s v="USD"/>
    <n v="1540530000"/>
    <n v="1541570400"/>
    <b v="0"/>
    <b v="0"/>
    <s v="theater/plays"/>
    <n v="1339.6666666666667"/>
    <n v="43.923497267759565"/>
    <x v="3"/>
    <s v="plays"/>
    <x v="284"/>
    <d v="1974-11-20T05:24:00"/>
  </r>
  <r>
    <n v="295"/>
    <s v="Smith, Jackson and Herrera"/>
    <s v="Enterprise-wide intermediate middleware"/>
    <n v="192900"/>
    <n v="68769"/>
    <x v="0"/>
    <n v="1910"/>
    <s v="CH"/>
    <s v="CHF"/>
    <n v="1381813200"/>
    <n v="1383976800"/>
    <b v="0"/>
    <b v="0"/>
    <s v="theater/plays"/>
    <n v="35.650077760497666"/>
    <n v="36.004712041884815"/>
    <x v="3"/>
    <s v="plays"/>
    <x v="285"/>
    <d v="1974-05-21T19:48:00"/>
  </r>
  <r>
    <n v="296"/>
    <s v="Smith-Hess"/>
    <s v="Grass-roots real-time Local Area Network"/>
    <n v="6100"/>
    <n v="3352"/>
    <x v="0"/>
    <n v="38"/>
    <s v="AU"/>
    <s v="AUD"/>
    <n v="1548655200"/>
    <n v="1550556000"/>
    <b v="0"/>
    <b v="0"/>
    <s v="theater/plays"/>
    <n v="54.950819672131146"/>
    <n v="88.21052631578948"/>
    <x v="3"/>
    <s v="plays"/>
    <x v="286"/>
    <d v="1974-11-30T15:00:00"/>
  </r>
  <r>
    <n v="297"/>
    <s v="Brown, Herring and Bass"/>
    <s v="Organized client-driven capacity"/>
    <n v="7200"/>
    <n v="6785"/>
    <x v="0"/>
    <n v="104"/>
    <s v="AU"/>
    <s v="AUD"/>
    <n v="1389679200"/>
    <n v="1390456800"/>
    <b v="0"/>
    <b v="1"/>
    <s v="theater/plays"/>
    <n v="94.236111111111114"/>
    <n v="65.240384615384613"/>
    <x v="3"/>
    <s v="plays"/>
    <x v="287"/>
    <d v="1974-05-29T07:48:00"/>
  </r>
  <r>
    <n v="298"/>
    <s v="Chase, Garcia and Johnson"/>
    <s v="Adaptive intangible database"/>
    <n v="3500"/>
    <n v="5037"/>
    <x v="1"/>
    <n v="72"/>
    <s v="US"/>
    <s v="USD"/>
    <n v="1456466400"/>
    <n v="1458018000"/>
    <b v="0"/>
    <b v="1"/>
    <s v="music/rock"/>
    <n v="143.91428571428571"/>
    <n v="69.958333333333329"/>
    <x v="1"/>
    <s v="rock"/>
    <x v="288"/>
    <d v="1974-08-15T12:30:00"/>
  </r>
  <r>
    <n v="299"/>
    <s v="Ramsey and Sons"/>
    <s v="Grass-roots contextually-based algorithm"/>
    <n v="3800"/>
    <n v="1954"/>
    <x v="0"/>
    <n v="49"/>
    <s v="US"/>
    <s v="USD"/>
    <n v="1456984800"/>
    <n v="1461819600"/>
    <b v="0"/>
    <b v="0"/>
    <s v="food/food trucks"/>
    <n v="51.421052631578945"/>
    <n v="39.877551020408163"/>
    <x v="0"/>
    <s v="food trucks"/>
    <x v="289"/>
    <d v="1974-08-19T22:06:00"/>
  </r>
  <r>
    <n v="300"/>
    <s v="Cooke PLC"/>
    <s v="Focused executive core"/>
    <n v="100"/>
    <n v="5"/>
    <x v="0"/>
    <n v="1"/>
    <s v="DK"/>
    <s v="DKK"/>
    <n v="1504069200"/>
    <n v="1504155600"/>
    <b v="0"/>
    <b v="1"/>
    <s v="publishing/nonfiction"/>
    <n v="5"/>
    <n v="5"/>
    <x v="5"/>
    <s v="nonfiction"/>
    <x v="290"/>
    <d v="1974-10-07T22:06:00"/>
  </r>
  <r>
    <n v="301"/>
    <s v="Wong-Walker"/>
    <s v="Multi-channeled disintermediate policy"/>
    <n v="900"/>
    <n v="12102"/>
    <x v="1"/>
    <n v="295"/>
    <s v="US"/>
    <s v="USD"/>
    <n v="1424930400"/>
    <n v="1426395600"/>
    <b v="0"/>
    <b v="0"/>
    <s v="film &amp; video/documentary"/>
    <n v="1344.6666666666667"/>
    <n v="41.023728813559323"/>
    <x v="4"/>
    <s v="documentary"/>
    <x v="291"/>
    <d v="1974-07-09T22:06:00"/>
  </r>
  <r>
    <n v="302"/>
    <s v="Ferguson, Collins and Mata"/>
    <s v="Customizable bi-directional hardware"/>
    <n v="76100"/>
    <n v="24234"/>
    <x v="0"/>
    <n v="245"/>
    <s v="US"/>
    <s v="USD"/>
    <n v="1535864400"/>
    <n v="1537074000"/>
    <b v="0"/>
    <b v="0"/>
    <s v="theater/plays"/>
    <n v="31.844940867279899"/>
    <n v="98.914285714285711"/>
    <x v="3"/>
    <s v="plays"/>
    <x v="292"/>
    <d v="1974-11-15T00:30:00"/>
  </r>
  <r>
    <n v="303"/>
    <s v="Guerrero, Flores and Jenkins"/>
    <s v="Networked optimal architecture"/>
    <n v="3400"/>
    <n v="2809"/>
    <x v="0"/>
    <n v="32"/>
    <s v="US"/>
    <s v="USD"/>
    <n v="1452146400"/>
    <n v="1452578400"/>
    <b v="0"/>
    <b v="0"/>
    <s v="music/indie rock"/>
    <n v="82.617647058823536"/>
    <n v="87.78125"/>
    <x v="1"/>
    <s v="indie rock"/>
    <x v="293"/>
    <d v="1974-08-09T05:24:00"/>
  </r>
  <r>
    <n v="304"/>
    <s v="Peterson PLC"/>
    <s v="User-friendly discrete benchmark"/>
    <n v="2100"/>
    <n v="11469"/>
    <x v="1"/>
    <n v="142"/>
    <s v="US"/>
    <s v="USD"/>
    <n v="1470546000"/>
    <n v="1474088400"/>
    <b v="0"/>
    <b v="0"/>
    <s v="film &amp; video/documentary"/>
    <n v="546.14285714285722"/>
    <n v="80.767605633802816"/>
    <x v="4"/>
    <s v="documentary"/>
    <x v="294"/>
    <d v="1974-09-03T02:54:00"/>
  </r>
  <r>
    <n v="305"/>
    <s v="Townsend Ltd"/>
    <s v="Grass-roots actuating policy"/>
    <n v="2800"/>
    <n v="8014"/>
    <x v="1"/>
    <n v="85"/>
    <s v="US"/>
    <s v="USD"/>
    <n v="1458363600"/>
    <n v="1461906000"/>
    <b v="0"/>
    <b v="0"/>
    <s v="theater/plays"/>
    <n v="286.21428571428572"/>
    <n v="94.28235294117647"/>
    <x v="3"/>
    <s v="plays"/>
    <x v="295"/>
    <d v="1974-08-20T00:30:00"/>
  </r>
  <r>
    <n v="306"/>
    <s v="Rush, Reed and Hall"/>
    <s v="Enterprise-wide 3rdgeneration knowledge user"/>
    <n v="6500"/>
    <n v="514"/>
    <x v="0"/>
    <n v="7"/>
    <s v="US"/>
    <s v="USD"/>
    <n v="1500008400"/>
    <n v="1500267600"/>
    <b v="0"/>
    <b v="1"/>
    <s v="theater/plays"/>
    <n v="7.9076923076923071"/>
    <n v="73.428571428571431"/>
    <x v="3"/>
    <s v="plays"/>
    <x v="296"/>
    <d v="1974-10-03T10:06:00"/>
  </r>
  <r>
    <n v="307"/>
    <s v="Salazar-Dodson"/>
    <s v="Face-to-face zero tolerance moderator"/>
    <n v="32900"/>
    <n v="43473"/>
    <x v="1"/>
    <n v="659"/>
    <s v="DK"/>
    <s v="DKK"/>
    <n v="1338958800"/>
    <n v="1340686800"/>
    <b v="0"/>
    <b v="1"/>
    <s v="publishing/fiction"/>
    <n v="132.13677811550153"/>
    <n v="65.968133535660087"/>
    <x v="5"/>
    <s v="fiction"/>
    <x v="297"/>
    <d v="1974-04-01T17:18:00"/>
  </r>
  <r>
    <n v="308"/>
    <s v="Davis Ltd"/>
    <s v="Grass-roots optimizing projection"/>
    <n v="118200"/>
    <n v="87560"/>
    <x v="0"/>
    <n v="803"/>
    <s v="US"/>
    <s v="USD"/>
    <n v="1303102800"/>
    <n v="1303189200"/>
    <b v="0"/>
    <b v="0"/>
    <s v="theater/plays"/>
    <n v="74.077834179357026"/>
    <n v="109.04109589041096"/>
    <x v="3"/>
    <s v="plays"/>
    <x v="298"/>
    <d v="1974-02-17T07:42:00"/>
  </r>
  <r>
    <n v="309"/>
    <s v="Harris-Perry"/>
    <s v="User-centric 6thgeneration attitude"/>
    <n v="4100"/>
    <n v="3087"/>
    <x v="3"/>
    <n v="75"/>
    <s v="US"/>
    <s v="USD"/>
    <n v="1316581200"/>
    <n v="1318309200"/>
    <b v="0"/>
    <b v="1"/>
    <s v="music/indie rock"/>
    <n v="75.292682926829272"/>
    <n v="41.16"/>
    <x v="1"/>
    <s v="indie rock"/>
    <x v="299"/>
    <d v="1974-03-06T19:42:00"/>
  </r>
  <r>
    <n v="310"/>
    <s v="Velazquez, Hunt and Ortiz"/>
    <s v="Switchable zero tolerance website"/>
    <n v="7800"/>
    <n v="1586"/>
    <x v="0"/>
    <n v="16"/>
    <s v="US"/>
    <s v="USD"/>
    <n v="1270789200"/>
    <n v="1272171600"/>
    <b v="0"/>
    <b v="0"/>
    <s v="games/video games"/>
    <n v="20.333333333333332"/>
    <n v="99.125"/>
    <x v="6"/>
    <s v="video games"/>
    <x v="300"/>
    <d v="1974-01-12T10:06:00"/>
  </r>
  <r>
    <n v="311"/>
    <s v="Flores PLC"/>
    <s v="Focused real-time help-desk"/>
    <n v="6300"/>
    <n v="12812"/>
    <x v="1"/>
    <n v="121"/>
    <s v="US"/>
    <s v="USD"/>
    <n v="1297836000"/>
    <n v="1298872800"/>
    <b v="0"/>
    <b v="0"/>
    <s v="theater/plays"/>
    <n v="203.36507936507937"/>
    <n v="105.88429752066116"/>
    <x v="3"/>
    <s v="plays"/>
    <x v="247"/>
    <d v="1974-02-12T07:48:00"/>
  </r>
  <r>
    <n v="312"/>
    <s v="Martinez LLC"/>
    <s v="Robust impactful approach"/>
    <n v="59100"/>
    <n v="183345"/>
    <x v="1"/>
    <n v="3742"/>
    <s v="US"/>
    <s v="USD"/>
    <n v="1382677200"/>
    <n v="1383282000"/>
    <b v="0"/>
    <b v="0"/>
    <s v="theater/plays"/>
    <n v="310.2284263959391"/>
    <n v="48.996525921966864"/>
    <x v="3"/>
    <s v="plays"/>
    <x v="244"/>
    <d v="1974-05-21T00:30:00"/>
  </r>
  <r>
    <n v="313"/>
    <s v="Miller-Irwin"/>
    <s v="Secured maximized policy"/>
    <n v="2200"/>
    <n v="8697"/>
    <x v="1"/>
    <n v="223"/>
    <s v="US"/>
    <s v="USD"/>
    <n v="1330322400"/>
    <n v="1330495200"/>
    <b v="0"/>
    <b v="0"/>
    <s v="music/rock"/>
    <n v="395.31818181818181"/>
    <n v="39"/>
    <x v="1"/>
    <s v="rock"/>
    <x v="301"/>
    <d v="1974-03-20T22:12:00"/>
  </r>
  <r>
    <n v="314"/>
    <s v="Sanchez-Morgan"/>
    <s v="Realigned upward-trending strategy"/>
    <n v="1400"/>
    <n v="4126"/>
    <x v="1"/>
    <n v="133"/>
    <s v="US"/>
    <s v="USD"/>
    <n v="1552366800"/>
    <n v="1552798800"/>
    <b v="0"/>
    <b v="1"/>
    <s v="film &amp; video/documentary"/>
    <n v="294.71428571428572"/>
    <n v="31.022556390977442"/>
    <x v="4"/>
    <s v="documentary"/>
    <x v="188"/>
    <d v="1974-12-03T05:18:00"/>
  </r>
  <r>
    <n v="315"/>
    <s v="Lopez, Adams and Johnson"/>
    <s v="Open-source interactive knowledge user"/>
    <n v="9500"/>
    <n v="3220"/>
    <x v="0"/>
    <n v="31"/>
    <s v="US"/>
    <s v="USD"/>
    <n v="1400907600"/>
    <n v="1403413200"/>
    <b v="0"/>
    <b v="0"/>
    <s v="theater/plays"/>
    <n v="33.89473684210526"/>
    <n v="103.87096774193549"/>
    <x v="3"/>
    <s v="plays"/>
    <x v="302"/>
    <d v="1974-06-13T07:42:00"/>
  </r>
  <r>
    <n v="316"/>
    <s v="Martin-Marshall"/>
    <s v="Configurable demand-driven matrix"/>
    <n v="9600"/>
    <n v="6401"/>
    <x v="0"/>
    <n v="108"/>
    <s v="IT"/>
    <s v="EUR"/>
    <n v="1574143200"/>
    <n v="1574229600"/>
    <b v="0"/>
    <b v="1"/>
    <s v="food/food trucks"/>
    <n v="66.677083333333329"/>
    <n v="59.268518518518519"/>
    <x v="0"/>
    <s v="food trucks"/>
    <x v="303"/>
    <d v="1974-12-28T00:36:00"/>
  </r>
  <r>
    <n v="317"/>
    <s v="Summers PLC"/>
    <s v="Cross-group coherent hierarchy"/>
    <n v="6600"/>
    <n v="1269"/>
    <x v="0"/>
    <n v="30"/>
    <s v="US"/>
    <s v="USD"/>
    <n v="1494738000"/>
    <n v="1495861200"/>
    <b v="0"/>
    <b v="0"/>
    <s v="theater/plays"/>
    <n v="19.227272727272727"/>
    <n v="42.3"/>
    <x v="3"/>
    <s v="plays"/>
    <x v="304"/>
    <d v="1974-09-28T07:42:00"/>
  </r>
  <r>
    <n v="318"/>
    <s v="Young, Hart and Ryan"/>
    <s v="Decentralized demand-driven open system"/>
    <n v="5700"/>
    <n v="903"/>
    <x v="0"/>
    <n v="17"/>
    <s v="US"/>
    <s v="USD"/>
    <n v="1392357600"/>
    <n v="1392530400"/>
    <b v="0"/>
    <b v="0"/>
    <s v="music/rock"/>
    <n v="15.842105263157894"/>
    <n v="53.117647058823529"/>
    <x v="1"/>
    <s v="rock"/>
    <x v="305"/>
    <d v="1974-05-31T17:24:00"/>
  </r>
  <r>
    <n v="319"/>
    <s v="Mills Group"/>
    <s v="Advanced empowering matrix"/>
    <n v="8400"/>
    <n v="3251"/>
    <x v="3"/>
    <n v="64"/>
    <s v="US"/>
    <s v="USD"/>
    <n v="1281589200"/>
    <n v="1283662800"/>
    <b v="0"/>
    <b v="0"/>
    <s v="technology/web"/>
    <n v="38.702380952380956"/>
    <n v="50.796875"/>
    <x v="2"/>
    <s v="web"/>
    <x v="306"/>
    <d v="1974-01-25T17:18:00"/>
  </r>
  <r>
    <n v="320"/>
    <s v="Sandoval-Powell"/>
    <s v="Phased holistic implementation"/>
    <n v="84400"/>
    <n v="8092"/>
    <x v="0"/>
    <n v="80"/>
    <s v="US"/>
    <s v="USD"/>
    <n v="1305003600"/>
    <n v="1305781200"/>
    <b v="0"/>
    <b v="0"/>
    <s v="publishing/fiction"/>
    <n v="9.5876777251184837"/>
    <n v="101.15"/>
    <x v="5"/>
    <s v="fiction"/>
    <x v="307"/>
    <d v="1974-02-20T07:42:00"/>
  </r>
  <r>
    <n v="321"/>
    <s v="Mills, Frazier and Perez"/>
    <s v="Proactive attitude-oriented knowledge user"/>
    <n v="170400"/>
    <n v="160422"/>
    <x v="0"/>
    <n v="2468"/>
    <s v="US"/>
    <s v="USD"/>
    <n v="1301634000"/>
    <n v="1302325200"/>
    <b v="0"/>
    <b v="0"/>
    <s v="film &amp; video/shorts"/>
    <n v="94.144366197183089"/>
    <n v="65.000810372771468"/>
    <x v="4"/>
    <s v="shorts"/>
    <x v="308"/>
    <d v="1974-02-16T07:42:00"/>
  </r>
  <r>
    <n v="322"/>
    <s v="Hebert Group"/>
    <s v="Visionary asymmetric Graphical User Interface"/>
    <n v="117900"/>
    <n v="196377"/>
    <x v="1"/>
    <n v="5168"/>
    <s v="US"/>
    <s v="USD"/>
    <n v="1290664800"/>
    <n v="1291788000"/>
    <b v="0"/>
    <b v="0"/>
    <s v="theater/plays"/>
    <n v="166.56234096692114"/>
    <n v="37.998645510835914"/>
    <x v="3"/>
    <s v="plays"/>
    <x v="309"/>
    <d v="1974-02-04T03:00:00"/>
  </r>
  <r>
    <n v="323"/>
    <s v="Cole, Smith and Wood"/>
    <s v="Integrated zero-defect help-desk"/>
    <n v="8900"/>
    <n v="2148"/>
    <x v="0"/>
    <n v="26"/>
    <s v="GB"/>
    <s v="GBP"/>
    <n v="1395896400"/>
    <n v="1396069200"/>
    <b v="0"/>
    <b v="0"/>
    <s v="film &amp; video/documentary"/>
    <n v="24.134831460674157"/>
    <n v="82.615384615384613"/>
    <x v="4"/>
    <s v="documentary"/>
    <x v="310"/>
    <d v="1974-06-04T19:42:00"/>
  </r>
  <r>
    <n v="324"/>
    <s v="Harris, Hall and Harris"/>
    <s v="Inverse analyzing matrices"/>
    <n v="7100"/>
    <n v="11648"/>
    <x v="1"/>
    <n v="307"/>
    <s v="US"/>
    <s v="USD"/>
    <n v="1434862800"/>
    <n v="1435899600"/>
    <b v="0"/>
    <b v="1"/>
    <s v="theater/plays"/>
    <n v="164.05633802816902"/>
    <n v="37.941368078175898"/>
    <x v="3"/>
    <s v="plays"/>
    <x v="311"/>
    <d v="1974-07-20T22:06:00"/>
  </r>
  <r>
    <n v="325"/>
    <s v="Saunders Group"/>
    <s v="Programmable systemic implementation"/>
    <n v="6500"/>
    <n v="5897"/>
    <x v="0"/>
    <n v="73"/>
    <s v="US"/>
    <s v="USD"/>
    <n v="1529125200"/>
    <n v="1531112400"/>
    <b v="0"/>
    <b v="1"/>
    <s v="theater/plays"/>
    <n v="90.723076923076931"/>
    <n v="80.780821917808225"/>
    <x v="3"/>
    <s v="plays"/>
    <x v="79"/>
    <d v="1974-11-08T02:54:00"/>
  </r>
  <r>
    <n v="326"/>
    <s v="Pham, Avila and Nash"/>
    <s v="Multi-channeled next generation architecture"/>
    <n v="7200"/>
    <n v="3326"/>
    <x v="0"/>
    <n v="128"/>
    <s v="US"/>
    <s v="USD"/>
    <n v="1451109600"/>
    <n v="1451628000"/>
    <b v="0"/>
    <b v="0"/>
    <s v="film &amp; video/animation"/>
    <n v="46.194444444444443"/>
    <n v="25.984375"/>
    <x v="4"/>
    <s v="animation"/>
    <x v="312"/>
    <d v="1974-08-08T03:00:00"/>
  </r>
  <r>
    <n v="327"/>
    <s v="Patterson, Salinas and Lucas"/>
    <s v="Digitized 3rdgeneration encoding"/>
    <n v="2600"/>
    <n v="1002"/>
    <x v="0"/>
    <n v="33"/>
    <s v="US"/>
    <s v="USD"/>
    <n v="1566968400"/>
    <n v="1567314000"/>
    <b v="0"/>
    <b v="1"/>
    <s v="theater/plays"/>
    <n v="38.53846153846154"/>
    <n v="30.363636363636363"/>
    <x v="3"/>
    <s v="plays"/>
    <x v="313"/>
    <d v="1974-12-20T00:30:00"/>
  </r>
  <r>
    <n v="328"/>
    <s v="Young PLC"/>
    <s v="Innovative well-modulated functionalities"/>
    <n v="98700"/>
    <n v="131826"/>
    <x v="1"/>
    <n v="2441"/>
    <s v="US"/>
    <s v="USD"/>
    <n v="1543557600"/>
    <n v="1544508000"/>
    <b v="0"/>
    <b v="0"/>
    <s v="music/rock"/>
    <n v="133.56231003039514"/>
    <n v="54.004916018025398"/>
    <x v="1"/>
    <s v="rock"/>
    <x v="314"/>
    <d v="1974-11-23T15:00:00"/>
  </r>
  <r>
    <n v="329"/>
    <s v="Willis and Sons"/>
    <s v="Fundamental incremental database"/>
    <n v="93800"/>
    <n v="21477"/>
    <x v="2"/>
    <n v="211"/>
    <s v="US"/>
    <s v="USD"/>
    <n v="1481522400"/>
    <n v="1482472800"/>
    <b v="0"/>
    <b v="0"/>
    <s v="games/video games"/>
    <n v="22.896588486140725"/>
    <n v="101.78672985781991"/>
    <x v="6"/>
    <s v="video games"/>
    <x v="315"/>
    <d v="1974-09-12T19:48:00"/>
  </r>
  <r>
    <n v="330"/>
    <s v="Thompson-Bates"/>
    <s v="Expanded encompassing open architecture"/>
    <n v="33700"/>
    <n v="62330"/>
    <x v="1"/>
    <n v="1385"/>
    <s v="GB"/>
    <s v="GBP"/>
    <n v="1512712800"/>
    <n v="1512799200"/>
    <b v="0"/>
    <b v="0"/>
    <s v="film &amp; video/documentary"/>
    <n v="184.95548961424333"/>
    <n v="45.003610108303249"/>
    <x v="4"/>
    <s v="documentary"/>
    <x v="316"/>
    <d v="1974-10-17T22:12:00"/>
  </r>
  <r>
    <n v="331"/>
    <s v="Rose-Silva"/>
    <s v="Intuitive static portal"/>
    <n v="3300"/>
    <n v="14643"/>
    <x v="1"/>
    <n v="190"/>
    <s v="US"/>
    <s v="USD"/>
    <n v="1324274400"/>
    <n v="1324360800"/>
    <b v="0"/>
    <b v="0"/>
    <s v="food/food trucks"/>
    <n v="443.72727272727275"/>
    <n v="77.068421052631578"/>
    <x v="0"/>
    <s v="food trucks"/>
    <x v="317"/>
    <d v="1974-03-13T19:48:00"/>
  </r>
  <r>
    <n v="332"/>
    <s v="Pacheco, Johnson and Torres"/>
    <s v="Optional bandwidth-monitored definition"/>
    <n v="20700"/>
    <n v="41396"/>
    <x v="1"/>
    <n v="470"/>
    <s v="US"/>
    <s v="USD"/>
    <n v="1364446800"/>
    <n v="1364533200"/>
    <b v="0"/>
    <b v="0"/>
    <s v="technology/wearables"/>
    <n v="199.9806763285024"/>
    <n v="88.076595744680844"/>
    <x v="2"/>
    <s v="wearables"/>
    <x v="318"/>
    <d v="1974-04-29T07:42:00"/>
  </r>
  <r>
    <n v="333"/>
    <s v="Carlson, Dixon and Jones"/>
    <s v="Persistent well-modulated synergy"/>
    <n v="9600"/>
    <n v="11900"/>
    <x v="1"/>
    <n v="253"/>
    <s v="US"/>
    <s v="USD"/>
    <n v="1542693600"/>
    <n v="1545112800"/>
    <b v="0"/>
    <b v="0"/>
    <s v="theater/plays"/>
    <n v="123.95833333333333"/>
    <n v="47.035573122529641"/>
    <x v="3"/>
    <s v="plays"/>
    <x v="319"/>
    <d v="1974-11-24T07:48:00"/>
  </r>
  <r>
    <n v="334"/>
    <s v="Mcgee Group"/>
    <s v="Assimilated discrete algorithm"/>
    <n v="66200"/>
    <n v="123538"/>
    <x v="1"/>
    <n v="1113"/>
    <s v="US"/>
    <s v="USD"/>
    <n v="1515564000"/>
    <n v="1516168800"/>
    <b v="0"/>
    <b v="0"/>
    <s v="music/rock"/>
    <n v="186.61329305135951"/>
    <n v="110.99550763701707"/>
    <x v="1"/>
    <s v="rock"/>
    <x v="32"/>
    <d v="1974-10-21T19:48:00"/>
  </r>
  <r>
    <n v="335"/>
    <s v="Jordan-Acosta"/>
    <s v="Operative uniform hub"/>
    <n v="173800"/>
    <n v="198628"/>
    <x v="1"/>
    <n v="2283"/>
    <s v="US"/>
    <s v="USD"/>
    <n v="1573797600"/>
    <n v="1574920800"/>
    <b v="0"/>
    <b v="0"/>
    <s v="music/rock"/>
    <n v="114.28538550057536"/>
    <n v="87.003066141042481"/>
    <x v="1"/>
    <s v="rock"/>
    <x v="320"/>
    <d v="1974-12-28T19:48:00"/>
  </r>
  <r>
    <n v="336"/>
    <s v="Nunez Inc"/>
    <s v="Customizable intangible capability"/>
    <n v="70700"/>
    <n v="68602"/>
    <x v="0"/>
    <n v="1072"/>
    <s v="US"/>
    <s v="USD"/>
    <n v="1292392800"/>
    <n v="1292479200"/>
    <b v="0"/>
    <b v="1"/>
    <s v="music/rock"/>
    <n v="97.032531824611041"/>
    <n v="63.994402985074629"/>
    <x v="1"/>
    <s v="rock"/>
    <x v="321"/>
    <d v="1974-02-04T22:12:00"/>
  </r>
  <r>
    <n v="337"/>
    <s v="Hayden Ltd"/>
    <s v="Innovative didactic analyzer"/>
    <n v="94500"/>
    <n v="116064"/>
    <x v="1"/>
    <n v="1095"/>
    <s v="US"/>
    <s v="USD"/>
    <n v="1573452000"/>
    <n v="1573538400"/>
    <b v="0"/>
    <b v="0"/>
    <s v="theater/plays"/>
    <n v="122.81904761904762"/>
    <n v="105.9945205479452"/>
    <x v="3"/>
    <s v="plays"/>
    <x v="322"/>
    <d v="1974-12-27T05:24:00"/>
  </r>
  <r>
    <n v="338"/>
    <s v="Gonzalez-Burton"/>
    <s v="Decentralized intangible encoding"/>
    <n v="69800"/>
    <n v="125042"/>
    <x v="1"/>
    <n v="1690"/>
    <s v="US"/>
    <s v="USD"/>
    <n v="1317790800"/>
    <n v="1320382800"/>
    <b v="0"/>
    <b v="0"/>
    <s v="theater/plays"/>
    <n v="179.14326647564468"/>
    <n v="73.989349112426041"/>
    <x v="3"/>
    <s v="plays"/>
    <x v="323"/>
    <d v="1974-03-09T05:18:00"/>
  </r>
  <r>
    <n v="339"/>
    <s v="Lewis, Taylor and Rivers"/>
    <s v="Front-line transitional algorithm"/>
    <n v="136300"/>
    <n v="108974"/>
    <x v="3"/>
    <n v="1297"/>
    <s v="CA"/>
    <s v="CAD"/>
    <n v="1501650000"/>
    <n v="1502859600"/>
    <b v="0"/>
    <b v="0"/>
    <s v="theater/plays"/>
    <n v="79.951577402787962"/>
    <n v="84.02004626060139"/>
    <x v="3"/>
    <s v="plays"/>
    <x v="324"/>
    <d v="1974-10-06T10:06:00"/>
  </r>
  <r>
    <n v="340"/>
    <s v="Butler, Henry and Espinoza"/>
    <s v="Switchable didactic matrices"/>
    <n v="37100"/>
    <n v="34964"/>
    <x v="0"/>
    <n v="393"/>
    <s v="US"/>
    <s v="USD"/>
    <n v="1323669600"/>
    <n v="1323756000"/>
    <b v="0"/>
    <b v="0"/>
    <s v="photography/photography books"/>
    <n v="94.242587601078171"/>
    <n v="88.966921119592882"/>
    <x v="7"/>
    <s v="photography books"/>
    <x v="325"/>
    <d v="1974-03-13T03:00:00"/>
  </r>
  <r>
    <n v="341"/>
    <s v="Guzman Group"/>
    <s v="Ameliorated disintermediate utilization"/>
    <n v="114300"/>
    <n v="96777"/>
    <x v="0"/>
    <n v="1257"/>
    <s v="US"/>
    <s v="USD"/>
    <n v="1440738000"/>
    <n v="1441342800"/>
    <b v="0"/>
    <b v="0"/>
    <s v="music/indie rock"/>
    <n v="84.669291338582681"/>
    <n v="76.990453460620529"/>
    <x v="1"/>
    <s v="indie rock"/>
    <x v="326"/>
    <d v="1974-07-27T05:18:00"/>
  </r>
  <r>
    <n v="342"/>
    <s v="Gibson-Hernandez"/>
    <s v="Visionary foreground middleware"/>
    <n v="47900"/>
    <n v="31864"/>
    <x v="0"/>
    <n v="328"/>
    <s v="US"/>
    <s v="USD"/>
    <n v="1374296400"/>
    <n v="1375333200"/>
    <b v="0"/>
    <b v="0"/>
    <s v="theater/plays"/>
    <n v="66.521920668058456"/>
    <n v="97.146341463414629"/>
    <x v="3"/>
    <s v="plays"/>
    <x v="327"/>
    <d v="1974-05-11T19:42:00"/>
  </r>
  <r>
    <n v="343"/>
    <s v="Spencer-Weber"/>
    <s v="Optional zero-defect task-force"/>
    <n v="9000"/>
    <n v="4853"/>
    <x v="0"/>
    <n v="147"/>
    <s v="US"/>
    <s v="USD"/>
    <n v="1384840800"/>
    <n v="1389420000"/>
    <b v="0"/>
    <b v="0"/>
    <s v="theater/plays"/>
    <n v="53.922222222222224"/>
    <n v="33.013605442176868"/>
    <x v="3"/>
    <s v="plays"/>
    <x v="328"/>
    <d v="1974-05-28T03:00:00"/>
  </r>
  <r>
    <n v="344"/>
    <s v="Berger, Johnson and Marshall"/>
    <s v="Devolved exuding emulation"/>
    <n v="197600"/>
    <n v="82959"/>
    <x v="0"/>
    <n v="830"/>
    <s v="US"/>
    <s v="USD"/>
    <n v="1516600800"/>
    <n v="1520056800"/>
    <b v="0"/>
    <b v="0"/>
    <s v="games/video games"/>
    <n v="41.983299595141702"/>
    <n v="99.950602409638549"/>
    <x v="6"/>
    <s v="video games"/>
    <x v="329"/>
    <d v="1974-10-26T07:48:00"/>
  </r>
  <r>
    <n v="345"/>
    <s v="Taylor, Cisneros and Romero"/>
    <s v="Open-source neutral task-force"/>
    <n v="157600"/>
    <n v="23159"/>
    <x v="0"/>
    <n v="331"/>
    <s v="GB"/>
    <s v="GBP"/>
    <n v="1436418000"/>
    <n v="1436504400"/>
    <b v="0"/>
    <b v="0"/>
    <s v="film &amp; video/drama"/>
    <n v="14.69479695431472"/>
    <n v="69.966767371601208"/>
    <x v="4"/>
    <s v="drama"/>
    <x v="330"/>
    <d v="1974-07-21T14:54:00"/>
  </r>
  <r>
    <n v="346"/>
    <s v="Little-Marsh"/>
    <s v="Virtual attitude-oriented migration"/>
    <n v="8000"/>
    <n v="2758"/>
    <x v="0"/>
    <n v="25"/>
    <s v="US"/>
    <s v="USD"/>
    <n v="1503550800"/>
    <n v="1508302800"/>
    <b v="0"/>
    <b v="1"/>
    <s v="music/indie rock"/>
    <n v="34.475000000000001"/>
    <n v="110.32"/>
    <x v="1"/>
    <s v="indie rock"/>
    <x v="331"/>
    <d v="1974-10-12T17:18:00"/>
  </r>
  <r>
    <n v="347"/>
    <s v="Petersen and Sons"/>
    <s v="Open-source full-range portal"/>
    <n v="900"/>
    <n v="12607"/>
    <x v="1"/>
    <n v="191"/>
    <s v="US"/>
    <s v="USD"/>
    <n v="1423634400"/>
    <n v="1425708000"/>
    <b v="0"/>
    <b v="0"/>
    <s v="technology/web"/>
    <n v="1400.7777777777778"/>
    <n v="66.005235602094245"/>
    <x v="2"/>
    <s v="web"/>
    <x v="332"/>
    <d v="1974-07-09T03:00:00"/>
  </r>
  <r>
    <n v="348"/>
    <s v="Hensley Ltd"/>
    <s v="Versatile cohesive open system"/>
    <n v="199000"/>
    <n v="142823"/>
    <x v="0"/>
    <n v="3483"/>
    <s v="US"/>
    <s v="USD"/>
    <n v="1487224800"/>
    <n v="1488348000"/>
    <b v="0"/>
    <b v="0"/>
    <s v="food/food trucks"/>
    <n v="71.770351758793964"/>
    <n v="41.005742176284812"/>
    <x v="0"/>
    <s v="food trucks"/>
    <x v="333"/>
    <d v="1974-09-19T15:00:00"/>
  </r>
  <r>
    <n v="349"/>
    <s v="Navarro and Sons"/>
    <s v="Multi-layered bottom-line frame"/>
    <n v="180800"/>
    <n v="95958"/>
    <x v="0"/>
    <n v="923"/>
    <s v="US"/>
    <s v="USD"/>
    <n v="1500008400"/>
    <n v="1502600400"/>
    <b v="0"/>
    <b v="0"/>
    <s v="theater/plays"/>
    <n v="53.074115044247783"/>
    <n v="103.96316359696641"/>
    <x v="3"/>
    <s v="plays"/>
    <x v="296"/>
    <d v="1974-10-06T02:54:00"/>
  </r>
  <r>
    <n v="350"/>
    <s v="Shannon Ltd"/>
    <s v="Pre-emptive neutral capacity"/>
    <n v="100"/>
    <n v="5"/>
    <x v="0"/>
    <n v="1"/>
    <s v="US"/>
    <s v="USD"/>
    <n v="1432098000"/>
    <n v="1433653200"/>
    <b v="0"/>
    <b v="1"/>
    <s v="music/jazz"/>
    <n v="5"/>
    <n v="5"/>
    <x v="1"/>
    <s v="jazz"/>
    <x v="334"/>
    <d v="1974-07-18T07:42:00"/>
  </r>
  <r>
    <n v="351"/>
    <s v="Young LLC"/>
    <s v="Universal maximized methodology"/>
    <n v="74100"/>
    <n v="94631"/>
    <x v="1"/>
    <n v="2013"/>
    <s v="US"/>
    <s v="USD"/>
    <n v="1440392400"/>
    <n v="1441602000"/>
    <b v="0"/>
    <b v="0"/>
    <s v="music/rock"/>
    <n v="127.70715249662618"/>
    <n v="47.009935419771487"/>
    <x v="1"/>
    <s v="rock"/>
    <x v="335"/>
    <d v="1974-07-27T12:30:00"/>
  </r>
  <r>
    <n v="352"/>
    <s v="Adams, Willis and Sanchez"/>
    <s v="Expanded hybrid hardware"/>
    <n v="2800"/>
    <n v="977"/>
    <x v="0"/>
    <n v="33"/>
    <s v="CA"/>
    <s v="CAD"/>
    <n v="1446876000"/>
    <n v="1447567200"/>
    <b v="0"/>
    <b v="0"/>
    <s v="theater/plays"/>
    <n v="34.892857142857139"/>
    <n v="29.606060606060606"/>
    <x v="3"/>
    <s v="plays"/>
    <x v="336"/>
    <d v="1974-08-03T10:12:00"/>
  </r>
  <r>
    <n v="353"/>
    <s v="Mills-Roy"/>
    <s v="Profit-focused multi-tasking access"/>
    <n v="33600"/>
    <n v="137961"/>
    <x v="1"/>
    <n v="1703"/>
    <s v="US"/>
    <s v="USD"/>
    <n v="1562302800"/>
    <n v="1562389200"/>
    <b v="0"/>
    <b v="0"/>
    <s v="theater/plays"/>
    <n v="410.59821428571428"/>
    <n v="81.010569583088667"/>
    <x v="3"/>
    <s v="plays"/>
    <x v="337"/>
    <d v="1974-12-14T07:42:00"/>
  </r>
  <r>
    <n v="354"/>
    <s v="Brown Group"/>
    <s v="Profit-focused transitional capability"/>
    <n v="6100"/>
    <n v="7548"/>
    <x v="1"/>
    <n v="80"/>
    <s v="DK"/>
    <s v="DKK"/>
    <n v="1378184400"/>
    <n v="1378789200"/>
    <b v="0"/>
    <b v="0"/>
    <s v="film &amp; video/documentary"/>
    <n v="123.73770491803278"/>
    <n v="94.35"/>
    <x v="4"/>
    <s v="documentary"/>
    <x v="338"/>
    <d v="1974-05-15T19:42:00"/>
  </r>
  <r>
    <n v="355"/>
    <s v="Burns-Burnett"/>
    <s v="Front-line scalable definition"/>
    <n v="3800"/>
    <n v="2241"/>
    <x v="2"/>
    <n v="86"/>
    <s v="US"/>
    <s v="USD"/>
    <n v="1485064800"/>
    <n v="1488520800"/>
    <b v="0"/>
    <b v="0"/>
    <s v="technology/wearables"/>
    <n v="58.973684210526315"/>
    <n v="26.058139534883722"/>
    <x v="2"/>
    <s v="wearables"/>
    <x v="339"/>
    <d v="1974-09-19T19:48:00"/>
  </r>
  <r>
    <n v="356"/>
    <s v="Glass, Nunez and Mcdonald"/>
    <s v="Open-source systematic protocol"/>
    <n v="9300"/>
    <n v="3431"/>
    <x v="0"/>
    <n v="40"/>
    <s v="IT"/>
    <s v="EUR"/>
    <n v="1326520800"/>
    <n v="1327298400"/>
    <b v="0"/>
    <b v="0"/>
    <s v="theater/plays"/>
    <n v="36.892473118279568"/>
    <n v="85.775000000000006"/>
    <x v="3"/>
    <s v="plays"/>
    <x v="340"/>
    <d v="1974-03-17T05:24:00"/>
  </r>
  <r>
    <n v="357"/>
    <s v="Perez, Davis and Wilson"/>
    <s v="Implemented tangible algorithm"/>
    <n v="2300"/>
    <n v="4253"/>
    <x v="1"/>
    <n v="41"/>
    <s v="US"/>
    <s v="USD"/>
    <n v="1441256400"/>
    <n v="1443416400"/>
    <b v="0"/>
    <b v="0"/>
    <s v="games/video games"/>
    <n v="184.91304347826087"/>
    <n v="103.73170731707317"/>
    <x v="6"/>
    <s v="video games"/>
    <x v="341"/>
    <d v="1974-07-29T14:54:00"/>
  </r>
  <r>
    <n v="358"/>
    <s v="Diaz-Garcia"/>
    <s v="Profit-focused 3rdgeneration circuit"/>
    <n v="9700"/>
    <n v="1146"/>
    <x v="0"/>
    <n v="23"/>
    <s v="CA"/>
    <s v="CAD"/>
    <n v="1533877200"/>
    <n v="1534136400"/>
    <b v="1"/>
    <b v="0"/>
    <s v="photography/photography books"/>
    <n v="11.814432989690722"/>
    <n v="49.826086956521742"/>
    <x v="7"/>
    <s v="photography books"/>
    <x v="342"/>
    <d v="1974-11-11T14:54:00"/>
  </r>
  <r>
    <n v="359"/>
    <s v="Salazar-Moon"/>
    <s v="Compatible needs-based architecture"/>
    <n v="4000"/>
    <n v="11948"/>
    <x v="1"/>
    <n v="187"/>
    <s v="US"/>
    <s v="USD"/>
    <n v="1314421200"/>
    <n v="1315026000"/>
    <b v="0"/>
    <b v="0"/>
    <s v="film &amp; video/animation"/>
    <n v="298.7"/>
    <n v="63.893048128342244"/>
    <x v="4"/>
    <s v="animation"/>
    <x v="343"/>
    <d v="1974-03-03T00:30:00"/>
  </r>
  <r>
    <n v="360"/>
    <s v="Larsen-Chung"/>
    <s v="Right-sized zero tolerance migration"/>
    <n v="59700"/>
    <n v="135132"/>
    <x v="1"/>
    <n v="2875"/>
    <s v="GB"/>
    <s v="GBP"/>
    <n v="1293861600"/>
    <n v="1295071200"/>
    <b v="0"/>
    <b v="1"/>
    <s v="theater/plays"/>
    <n v="226.35175879396985"/>
    <n v="47.002434782608695"/>
    <x v="3"/>
    <s v="plays"/>
    <x v="344"/>
    <d v="1974-02-07T22:12:00"/>
  </r>
  <r>
    <n v="361"/>
    <s v="Anderson and Sons"/>
    <s v="Quality-focused reciprocal structure"/>
    <n v="5500"/>
    <n v="9546"/>
    <x v="1"/>
    <n v="88"/>
    <s v="US"/>
    <s v="USD"/>
    <n v="1507352400"/>
    <n v="1509426000"/>
    <b v="0"/>
    <b v="0"/>
    <s v="theater/plays"/>
    <n v="173.56363636363636"/>
    <n v="108.47727272727273"/>
    <x v="3"/>
    <s v="plays"/>
    <x v="345"/>
    <d v="1974-10-14T00:30:00"/>
  </r>
  <r>
    <n v="362"/>
    <s v="Lawrence Group"/>
    <s v="Automated actuating conglomeration"/>
    <n v="3700"/>
    <n v="13755"/>
    <x v="1"/>
    <n v="191"/>
    <s v="US"/>
    <s v="USD"/>
    <n v="1296108000"/>
    <n v="1299391200"/>
    <b v="0"/>
    <b v="0"/>
    <s v="music/rock"/>
    <n v="371.75675675675677"/>
    <n v="72.015706806282722"/>
    <x v="1"/>
    <s v="rock"/>
    <x v="65"/>
    <d v="1974-02-12T22:12:00"/>
  </r>
  <r>
    <n v="363"/>
    <s v="Gray-Davis"/>
    <s v="Re-contextualized local initiative"/>
    <n v="5200"/>
    <n v="8330"/>
    <x v="1"/>
    <n v="139"/>
    <s v="US"/>
    <s v="USD"/>
    <n v="1324965600"/>
    <n v="1325052000"/>
    <b v="0"/>
    <b v="0"/>
    <s v="music/rock"/>
    <n v="160.19230769230771"/>
    <n v="59.928057553956833"/>
    <x v="1"/>
    <s v="rock"/>
    <x v="346"/>
    <d v="1974-03-14T15:00:00"/>
  </r>
  <r>
    <n v="364"/>
    <s v="Ramirez-Myers"/>
    <s v="Switchable intangible definition"/>
    <n v="900"/>
    <n v="14547"/>
    <x v="1"/>
    <n v="186"/>
    <s v="US"/>
    <s v="USD"/>
    <n v="1520229600"/>
    <n v="1522818000"/>
    <b v="0"/>
    <b v="0"/>
    <s v="music/indie rock"/>
    <n v="1616.3333333333335"/>
    <n v="78.209677419354833"/>
    <x v="1"/>
    <s v="indie rock"/>
    <x v="347"/>
    <d v="1974-10-29T12:30:00"/>
  </r>
  <r>
    <n v="365"/>
    <s v="Lucas, Hall and Bonilla"/>
    <s v="Networked bottom-line initiative"/>
    <n v="1600"/>
    <n v="11735"/>
    <x v="1"/>
    <n v="112"/>
    <s v="AU"/>
    <s v="AUD"/>
    <n v="1482991200"/>
    <n v="1485324000"/>
    <b v="0"/>
    <b v="0"/>
    <s v="theater/plays"/>
    <n v="733.4375"/>
    <n v="104.77678571428571"/>
    <x v="3"/>
    <s v="plays"/>
    <x v="348"/>
    <d v="1974-09-16T03:00:00"/>
  </r>
  <r>
    <n v="366"/>
    <s v="Williams, Perez and Villegas"/>
    <s v="Robust directional system engine"/>
    <n v="1800"/>
    <n v="10658"/>
    <x v="1"/>
    <n v="101"/>
    <s v="US"/>
    <s v="USD"/>
    <n v="1294034400"/>
    <n v="1294120800"/>
    <b v="0"/>
    <b v="1"/>
    <s v="theater/plays"/>
    <n v="592.11111111111109"/>
    <n v="105.52475247524752"/>
    <x v="3"/>
    <s v="plays"/>
    <x v="349"/>
    <d v="1974-02-06T19:48:00"/>
  </r>
  <r>
    <n v="367"/>
    <s v="Brooks, Jones and Ingram"/>
    <s v="Triple-buffered explicit methodology"/>
    <n v="9900"/>
    <n v="1870"/>
    <x v="0"/>
    <n v="75"/>
    <s v="US"/>
    <s v="USD"/>
    <n v="1413608400"/>
    <n v="1415685600"/>
    <b v="0"/>
    <b v="1"/>
    <s v="theater/plays"/>
    <n v="18.888888888888889"/>
    <n v="24.933333333333334"/>
    <x v="3"/>
    <s v="plays"/>
    <x v="350"/>
    <d v="1974-06-27T12:36:00"/>
  </r>
  <r>
    <n v="368"/>
    <s v="Whitaker, Wallace and Daniels"/>
    <s v="Reactive directional capacity"/>
    <n v="5200"/>
    <n v="14394"/>
    <x v="1"/>
    <n v="206"/>
    <s v="GB"/>
    <s v="GBP"/>
    <n v="1286946000"/>
    <n v="1288933200"/>
    <b v="0"/>
    <b v="1"/>
    <s v="film &amp; video/documentary"/>
    <n v="276.80769230769232"/>
    <n v="69.873786407766985"/>
    <x v="4"/>
    <s v="documentary"/>
    <x v="351"/>
    <d v="1974-01-31T19:42:00"/>
  </r>
  <r>
    <n v="369"/>
    <s v="Smith-Gonzalez"/>
    <s v="Polarized needs-based approach"/>
    <n v="5400"/>
    <n v="14743"/>
    <x v="1"/>
    <n v="154"/>
    <s v="US"/>
    <s v="USD"/>
    <n v="1359871200"/>
    <n v="1363237200"/>
    <b v="0"/>
    <b v="1"/>
    <s v="film &amp; video/television"/>
    <n v="273.01851851851848"/>
    <n v="95.733766233766232"/>
    <x v="4"/>
    <s v="television"/>
    <x v="352"/>
    <d v="1974-04-27T19:42:00"/>
  </r>
  <r>
    <n v="370"/>
    <s v="Skinner PLC"/>
    <s v="Intuitive well-modulated middleware"/>
    <n v="112300"/>
    <n v="178965"/>
    <x v="1"/>
    <n v="5966"/>
    <s v="US"/>
    <s v="USD"/>
    <n v="1555304400"/>
    <n v="1555822800"/>
    <b v="0"/>
    <b v="0"/>
    <s v="theater/plays"/>
    <n v="159.36331255565449"/>
    <n v="29.997485752598056"/>
    <x v="3"/>
    <s v="plays"/>
    <x v="353"/>
    <d v="1974-12-06T17:18:00"/>
  </r>
  <r>
    <n v="371"/>
    <s v="Nolan, Smith and Sanchez"/>
    <s v="Multi-channeled logistical matrices"/>
    <n v="189200"/>
    <n v="128410"/>
    <x v="0"/>
    <n v="2176"/>
    <s v="US"/>
    <s v="USD"/>
    <n v="1423375200"/>
    <n v="1427778000"/>
    <b v="0"/>
    <b v="0"/>
    <s v="theater/plays"/>
    <n v="67.869978858350947"/>
    <n v="59.011948529411768"/>
    <x v="3"/>
    <s v="plays"/>
    <x v="354"/>
    <d v="1974-07-11T12:30:00"/>
  </r>
  <r>
    <n v="372"/>
    <s v="Green-Carr"/>
    <s v="Pre-emptive bifurcated artificial intelligence"/>
    <n v="900"/>
    <n v="14324"/>
    <x v="1"/>
    <n v="169"/>
    <s v="US"/>
    <s v="USD"/>
    <n v="1420696800"/>
    <n v="1422424800"/>
    <b v="0"/>
    <b v="1"/>
    <s v="film &amp; video/documentary"/>
    <n v="1591.5555555555554"/>
    <n v="84.757396449704146"/>
    <x v="4"/>
    <s v="documentary"/>
    <x v="355"/>
    <d v="1974-07-05T07:48:00"/>
  </r>
  <r>
    <n v="373"/>
    <s v="Brown-Parker"/>
    <s v="Down-sized coherent toolset"/>
    <n v="22500"/>
    <n v="164291"/>
    <x v="1"/>
    <n v="2106"/>
    <s v="US"/>
    <s v="USD"/>
    <n v="1502946000"/>
    <n v="1503637200"/>
    <b v="0"/>
    <b v="0"/>
    <s v="theater/plays"/>
    <n v="730.18222222222221"/>
    <n v="78.010921177587846"/>
    <x v="3"/>
    <s v="plays"/>
    <x v="356"/>
    <d v="1974-10-07T07:42:00"/>
  </r>
  <r>
    <n v="374"/>
    <s v="Marshall Inc"/>
    <s v="Open-source multi-tasking data-warehouse"/>
    <n v="167400"/>
    <n v="22073"/>
    <x v="0"/>
    <n v="441"/>
    <s v="US"/>
    <s v="USD"/>
    <n v="1547186400"/>
    <n v="1547618400"/>
    <b v="0"/>
    <b v="1"/>
    <s v="film &amp; video/documentary"/>
    <n v="13.185782556750297"/>
    <n v="50.05215419501134"/>
    <x v="4"/>
    <s v="documentary"/>
    <x v="357"/>
    <d v="1974-11-27T05:24:00"/>
  </r>
  <r>
    <n v="375"/>
    <s v="Leblanc-Pineda"/>
    <s v="Future-proofed upward-trending contingency"/>
    <n v="2700"/>
    <n v="1479"/>
    <x v="0"/>
    <n v="25"/>
    <s v="US"/>
    <s v="USD"/>
    <n v="1444971600"/>
    <n v="1449900000"/>
    <b v="0"/>
    <b v="0"/>
    <s v="music/indie rock"/>
    <n v="54.777777777777779"/>
    <n v="59.16"/>
    <x v="1"/>
    <s v="indie rock"/>
    <x v="358"/>
    <d v="1974-08-06T03:00:00"/>
  </r>
  <r>
    <n v="376"/>
    <s v="Perry PLC"/>
    <s v="Mandatory uniform matrix"/>
    <n v="3400"/>
    <n v="12275"/>
    <x v="1"/>
    <n v="131"/>
    <s v="US"/>
    <s v="USD"/>
    <n v="1404622800"/>
    <n v="1405141200"/>
    <b v="0"/>
    <b v="0"/>
    <s v="music/rock"/>
    <n v="361.02941176470591"/>
    <n v="93.702290076335885"/>
    <x v="1"/>
    <s v="rock"/>
    <x v="359"/>
    <d v="1974-06-15T07:42:00"/>
  </r>
  <r>
    <n v="377"/>
    <s v="Klein, Stark and Livingston"/>
    <s v="Phased methodical initiative"/>
    <n v="49700"/>
    <n v="5098"/>
    <x v="0"/>
    <n v="127"/>
    <s v="US"/>
    <s v="USD"/>
    <n v="1571720400"/>
    <n v="1572933600"/>
    <b v="0"/>
    <b v="0"/>
    <s v="theater/plays"/>
    <n v="10.257545271629779"/>
    <n v="40.14173228346457"/>
    <x v="3"/>
    <s v="plays"/>
    <x v="12"/>
    <d v="1974-12-26T12:36:00"/>
  </r>
  <r>
    <n v="378"/>
    <s v="Fleming-Oliver"/>
    <s v="Managed stable function"/>
    <n v="178200"/>
    <n v="24882"/>
    <x v="0"/>
    <n v="355"/>
    <s v="US"/>
    <s v="USD"/>
    <n v="1526878800"/>
    <n v="1530162000"/>
    <b v="0"/>
    <b v="0"/>
    <s v="film &amp; video/documentary"/>
    <n v="13.962962962962964"/>
    <n v="70.090140845070422"/>
    <x v="4"/>
    <s v="documentary"/>
    <x v="360"/>
    <d v="1974-11-07T00:30:00"/>
  </r>
  <r>
    <n v="379"/>
    <s v="Reilly, Aguirre and Johnson"/>
    <s v="Realigned clear-thinking migration"/>
    <n v="7200"/>
    <n v="2912"/>
    <x v="0"/>
    <n v="44"/>
    <s v="GB"/>
    <s v="GBP"/>
    <n v="1319691600"/>
    <n v="1320904800"/>
    <b v="0"/>
    <b v="0"/>
    <s v="theater/plays"/>
    <n v="40.444444444444443"/>
    <n v="66.181818181818187"/>
    <x v="3"/>
    <s v="plays"/>
    <x v="361"/>
    <d v="1974-03-09T19:48:00"/>
  </r>
  <r>
    <n v="380"/>
    <s v="Davidson, Wilcox and Lewis"/>
    <s v="Optional clear-thinking process improvement"/>
    <n v="2500"/>
    <n v="4008"/>
    <x v="1"/>
    <n v="84"/>
    <s v="US"/>
    <s v="USD"/>
    <n v="1371963600"/>
    <n v="1372395600"/>
    <b v="0"/>
    <b v="0"/>
    <s v="theater/plays"/>
    <n v="160.32"/>
    <n v="47.714285714285715"/>
    <x v="3"/>
    <s v="plays"/>
    <x v="362"/>
    <d v="1974-05-08T10:06:00"/>
  </r>
  <r>
    <n v="381"/>
    <s v="Michael, Anderson and Vincent"/>
    <s v="Cross-group global moratorium"/>
    <n v="5300"/>
    <n v="9749"/>
    <x v="1"/>
    <n v="155"/>
    <s v="US"/>
    <s v="USD"/>
    <n v="1433739600"/>
    <n v="1437714000"/>
    <b v="0"/>
    <b v="0"/>
    <s v="theater/plays"/>
    <n v="183.9433962264151"/>
    <n v="62.896774193548389"/>
    <x v="3"/>
    <s v="plays"/>
    <x v="363"/>
    <d v="1974-07-23T00:30:00"/>
  </r>
  <r>
    <n v="382"/>
    <s v="King Ltd"/>
    <s v="Visionary systemic process improvement"/>
    <n v="9100"/>
    <n v="5803"/>
    <x v="0"/>
    <n v="67"/>
    <s v="US"/>
    <s v="USD"/>
    <n v="1508130000"/>
    <n v="1509771600"/>
    <b v="0"/>
    <b v="0"/>
    <s v="photography/photography books"/>
    <n v="63.769230769230766"/>
    <n v="86.611940298507463"/>
    <x v="7"/>
    <s v="photography books"/>
    <x v="364"/>
    <d v="1974-10-14T10:06:00"/>
  </r>
  <r>
    <n v="383"/>
    <s v="Baker Ltd"/>
    <s v="Progressive intangible flexibility"/>
    <n v="6300"/>
    <n v="14199"/>
    <x v="1"/>
    <n v="189"/>
    <s v="US"/>
    <s v="USD"/>
    <n v="1550037600"/>
    <n v="1550556000"/>
    <b v="0"/>
    <b v="1"/>
    <s v="food/food trucks"/>
    <n v="225.38095238095238"/>
    <n v="75.126984126984127"/>
    <x v="0"/>
    <s v="food trucks"/>
    <x v="210"/>
    <d v="1974-11-30T15:00:00"/>
  </r>
  <r>
    <n v="384"/>
    <s v="Baker, Collins and Smith"/>
    <s v="Reactive real-time software"/>
    <n v="114400"/>
    <n v="196779"/>
    <x v="1"/>
    <n v="4799"/>
    <s v="US"/>
    <s v="USD"/>
    <n v="1486706400"/>
    <n v="1489039200"/>
    <b v="1"/>
    <b v="1"/>
    <s v="film &amp; video/documentary"/>
    <n v="172.00961538461539"/>
    <n v="41.004167534903104"/>
    <x v="4"/>
    <s v="documentary"/>
    <x v="365"/>
    <d v="1974-09-20T10:12:00"/>
  </r>
  <r>
    <n v="385"/>
    <s v="Warren-Harrison"/>
    <s v="Programmable incremental knowledge user"/>
    <n v="38900"/>
    <n v="56859"/>
    <x v="1"/>
    <n v="1137"/>
    <s v="US"/>
    <s v="USD"/>
    <n v="1553835600"/>
    <n v="1556600400"/>
    <b v="0"/>
    <b v="0"/>
    <s v="publishing/nonfiction"/>
    <n v="146.16709511568124"/>
    <n v="50.007915567282325"/>
    <x v="5"/>
    <s v="nonfiction"/>
    <x v="366"/>
    <d v="1974-12-07T14:54:00"/>
  </r>
  <r>
    <n v="386"/>
    <s v="Gardner Group"/>
    <s v="Progressive 5thgeneration customer loyalty"/>
    <n v="135500"/>
    <n v="103554"/>
    <x v="0"/>
    <n v="1068"/>
    <s v="US"/>
    <s v="USD"/>
    <n v="1277528400"/>
    <n v="1278565200"/>
    <b v="0"/>
    <b v="0"/>
    <s v="theater/plays"/>
    <n v="76.42361623616236"/>
    <n v="96.960674157303373"/>
    <x v="3"/>
    <s v="plays"/>
    <x v="367"/>
    <d v="1974-01-19T19:42:00"/>
  </r>
  <r>
    <n v="387"/>
    <s v="Flores-Lambert"/>
    <s v="Triple-buffered logistical frame"/>
    <n v="109000"/>
    <n v="42795"/>
    <x v="0"/>
    <n v="424"/>
    <s v="US"/>
    <s v="USD"/>
    <n v="1339477200"/>
    <n v="1339909200"/>
    <b v="0"/>
    <b v="0"/>
    <s v="technology/wearables"/>
    <n v="39.261467889908261"/>
    <n v="100.93160377358491"/>
    <x v="2"/>
    <s v="wearables"/>
    <x v="368"/>
    <d v="1974-03-31T19:42:00"/>
  </r>
  <r>
    <n v="388"/>
    <s v="Cruz Ltd"/>
    <s v="Exclusive dynamic adapter"/>
    <n v="114800"/>
    <n v="12938"/>
    <x v="3"/>
    <n v="145"/>
    <s v="CH"/>
    <s v="CHF"/>
    <n v="1325656800"/>
    <n v="1325829600"/>
    <b v="0"/>
    <b v="0"/>
    <s v="music/indie rock"/>
    <n v="11.270034843205574"/>
    <n v="89.227586206896547"/>
    <x v="1"/>
    <s v="indie rock"/>
    <x v="369"/>
    <d v="1974-03-15T12:36:00"/>
  </r>
  <r>
    <n v="389"/>
    <s v="Knox-Garner"/>
    <s v="Automated systemic hierarchy"/>
    <n v="83000"/>
    <n v="101352"/>
    <x v="1"/>
    <n v="1152"/>
    <s v="US"/>
    <s v="USD"/>
    <n v="1288242000"/>
    <n v="1290578400"/>
    <b v="0"/>
    <b v="0"/>
    <s v="theater/plays"/>
    <n v="122.11084337349398"/>
    <n v="87.979166666666671"/>
    <x v="3"/>
    <s v="plays"/>
    <x v="370"/>
    <d v="1974-02-02T17:24:00"/>
  </r>
  <r>
    <n v="390"/>
    <s v="Davis-Allen"/>
    <s v="Digitized eco-centric core"/>
    <n v="2400"/>
    <n v="4477"/>
    <x v="1"/>
    <n v="50"/>
    <s v="US"/>
    <s v="USD"/>
    <n v="1379048400"/>
    <n v="1380344400"/>
    <b v="0"/>
    <b v="0"/>
    <s v="photography/photography books"/>
    <n v="186.54166666666669"/>
    <n v="89.54"/>
    <x v="7"/>
    <s v="photography books"/>
    <x v="371"/>
    <d v="1974-05-17T14:54:00"/>
  </r>
  <r>
    <n v="391"/>
    <s v="Miller-Patel"/>
    <s v="Mandatory uniform strategy"/>
    <n v="60400"/>
    <n v="4393"/>
    <x v="0"/>
    <n v="151"/>
    <s v="US"/>
    <s v="USD"/>
    <n v="1389679200"/>
    <n v="1389852000"/>
    <b v="0"/>
    <b v="0"/>
    <s v="publishing/nonfiction"/>
    <n v="7.2731788079470201"/>
    <n v="29.09271523178808"/>
    <x v="5"/>
    <s v="nonfiction"/>
    <x v="287"/>
    <d v="1974-05-28T15:00:00"/>
  </r>
  <r>
    <n v="392"/>
    <s v="Hernandez-Grimes"/>
    <s v="Profit-focused zero administration forecast"/>
    <n v="102900"/>
    <n v="67546"/>
    <x v="0"/>
    <n v="1608"/>
    <s v="US"/>
    <s v="USD"/>
    <n v="1294293600"/>
    <n v="1294466400"/>
    <b v="0"/>
    <b v="0"/>
    <s v="technology/wearables"/>
    <n v="65.642371234207957"/>
    <n v="42.006218905472636"/>
    <x v="2"/>
    <s v="wearables"/>
    <x v="372"/>
    <d v="1974-02-07T05:24:00"/>
  </r>
  <r>
    <n v="393"/>
    <s v="Owens, Hall and Gonzalez"/>
    <s v="De-engineered static orchestration"/>
    <n v="62800"/>
    <n v="143788"/>
    <x v="1"/>
    <n v="3059"/>
    <s v="CA"/>
    <s v="CAD"/>
    <n v="1500267600"/>
    <n v="1500354000"/>
    <b v="0"/>
    <b v="0"/>
    <s v="music/jazz"/>
    <n v="228.96178343949046"/>
    <n v="47.004903563255965"/>
    <x v="1"/>
    <s v="jazz"/>
    <x v="373"/>
    <d v="1974-10-03T12:30:00"/>
  </r>
  <r>
    <n v="394"/>
    <s v="Noble-Bailey"/>
    <s v="Customizable dynamic info-mediaries"/>
    <n v="800"/>
    <n v="3755"/>
    <x v="1"/>
    <n v="34"/>
    <s v="US"/>
    <s v="USD"/>
    <n v="1375074000"/>
    <n v="1375938000"/>
    <b v="0"/>
    <b v="1"/>
    <s v="film &amp; video/documentary"/>
    <n v="469.37499999999994"/>
    <n v="110.44117647058823"/>
    <x v="4"/>
    <s v="documentary"/>
    <x v="374"/>
    <d v="1974-05-12T12:30:00"/>
  </r>
  <r>
    <n v="395"/>
    <s v="Taylor PLC"/>
    <s v="Enhanced incremental budgetary management"/>
    <n v="7100"/>
    <n v="9238"/>
    <x v="1"/>
    <n v="220"/>
    <s v="US"/>
    <s v="USD"/>
    <n v="1323324000"/>
    <n v="1323410400"/>
    <b v="1"/>
    <b v="0"/>
    <s v="theater/plays"/>
    <n v="130.11267605633802"/>
    <n v="41.990909090909092"/>
    <x v="3"/>
    <s v="plays"/>
    <x v="375"/>
    <d v="1974-03-12T17:24:00"/>
  </r>
  <r>
    <n v="396"/>
    <s v="Holmes PLC"/>
    <s v="Digitized local info-mediaries"/>
    <n v="46100"/>
    <n v="77012"/>
    <x v="1"/>
    <n v="1604"/>
    <s v="AU"/>
    <s v="AUD"/>
    <n v="1538715600"/>
    <n v="1539406800"/>
    <b v="0"/>
    <b v="0"/>
    <s v="film &amp; video/drama"/>
    <n v="167.05422993492408"/>
    <n v="48.012468827930178"/>
    <x v="4"/>
    <s v="drama"/>
    <x v="376"/>
    <d v="1974-11-17T17:18:00"/>
  </r>
  <r>
    <n v="397"/>
    <s v="Jones-Martin"/>
    <s v="Virtual systematic monitoring"/>
    <n v="8100"/>
    <n v="14083"/>
    <x v="1"/>
    <n v="454"/>
    <s v="US"/>
    <s v="USD"/>
    <n v="1369285200"/>
    <n v="1369803600"/>
    <b v="0"/>
    <b v="0"/>
    <s v="music/rock"/>
    <n v="173.8641975308642"/>
    <n v="31.019823788546255"/>
    <x v="1"/>
    <s v="rock"/>
    <x v="377"/>
    <d v="1974-05-05T10:06:00"/>
  </r>
  <r>
    <n v="398"/>
    <s v="Myers LLC"/>
    <s v="Reactive bottom-line open architecture"/>
    <n v="1700"/>
    <n v="12202"/>
    <x v="1"/>
    <n v="123"/>
    <s v="IT"/>
    <s v="EUR"/>
    <n v="1525755600"/>
    <n v="1525928400"/>
    <b v="0"/>
    <b v="1"/>
    <s v="film &amp; video/animation"/>
    <n v="717.76470588235293"/>
    <n v="99.203252032520325"/>
    <x v="4"/>
    <s v="animation"/>
    <x v="378"/>
    <d v="1974-11-02T02:54:00"/>
  </r>
  <r>
    <n v="399"/>
    <s v="Acosta, Mullins and Morris"/>
    <s v="Pre-emptive interactive model"/>
    <n v="97300"/>
    <n v="62127"/>
    <x v="0"/>
    <n v="941"/>
    <s v="US"/>
    <s v="USD"/>
    <n v="1296626400"/>
    <n v="1297231200"/>
    <b v="0"/>
    <b v="0"/>
    <s v="music/indie rock"/>
    <n v="63.850976361767728"/>
    <n v="66.022316684378325"/>
    <x v="1"/>
    <s v="indie rock"/>
    <x v="379"/>
    <d v="1974-02-10T10:12:00"/>
  </r>
  <r>
    <n v="400"/>
    <s v="Bell PLC"/>
    <s v="Ergonomic eco-centric open architecture"/>
    <n v="100"/>
    <n v="2"/>
    <x v="0"/>
    <n v="1"/>
    <s v="US"/>
    <s v="USD"/>
    <n v="1376629200"/>
    <n v="1378530000"/>
    <b v="0"/>
    <b v="1"/>
    <s v="photography/photography books"/>
    <n v="2"/>
    <n v="2"/>
    <x v="7"/>
    <s v="photography books"/>
    <x v="380"/>
    <d v="1974-05-15T12:30:00"/>
  </r>
  <r>
    <n v="401"/>
    <s v="Smith-Schmidt"/>
    <s v="Inverse radical hierarchy"/>
    <n v="900"/>
    <n v="13772"/>
    <x v="1"/>
    <n v="299"/>
    <s v="US"/>
    <s v="USD"/>
    <n v="1572152400"/>
    <n v="1572152400"/>
    <b v="0"/>
    <b v="0"/>
    <s v="theater/plays"/>
    <n v="1530.2222222222222"/>
    <n v="46.060200668896321"/>
    <x v="3"/>
    <s v="plays"/>
    <x v="381"/>
    <d v="1974-12-25T14:54:00"/>
  </r>
  <r>
    <n v="402"/>
    <s v="Ruiz, Richardson and Cole"/>
    <s v="Team-oriented static interface"/>
    <n v="7300"/>
    <n v="2946"/>
    <x v="0"/>
    <n v="40"/>
    <s v="US"/>
    <s v="USD"/>
    <n v="1325829600"/>
    <n v="1329890400"/>
    <b v="0"/>
    <b v="1"/>
    <s v="film &amp; video/shorts"/>
    <n v="40.356164383561641"/>
    <n v="73.650000000000006"/>
    <x v="4"/>
    <s v="shorts"/>
    <x v="382"/>
    <d v="1974-03-20T05:24:00"/>
  </r>
  <r>
    <n v="403"/>
    <s v="Leonard-Mcclain"/>
    <s v="Virtual foreground throughput"/>
    <n v="195800"/>
    <n v="168820"/>
    <x v="0"/>
    <n v="3015"/>
    <s v="CA"/>
    <s v="CAD"/>
    <n v="1273640400"/>
    <n v="1276750800"/>
    <b v="0"/>
    <b v="1"/>
    <s v="theater/plays"/>
    <n v="86.220633299284984"/>
    <n v="55.99336650082919"/>
    <x v="3"/>
    <s v="plays"/>
    <x v="125"/>
    <d v="1974-01-17T17:18:00"/>
  </r>
  <r>
    <n v="404"/>
    <s v="Bailey-Boyer"/>
    <s v="Visionary exuding Internet solution"/>
    <n v="48900"/>
    <n v="154321"/>
    <x v="1"/>
    <n v="2237"/>
    <s v="US"/>
    <s v="USD"/>
    <n v="1510639200"/>
    <n v="1510898400"/>
    <b v="0"/>
    <b v="0"/>
    <s v="theater/plays"/>
    <n v="315.58486707566465"/>
    <n v="68.985695127402778"/>
    <x v="3"/>
    <s v="plays"/>
    <x v="383"/>
    <d v="1974-10-15T17:24:00"/>
  </r>
  <r>
    <n v="405"/>
    <s v="Lee LLC"/>
    <s v="Synchronized secondary analyzer"/>
    <n v="29600"/>
    <n v="26527"/>
    <x v="0"/>
    <n v="435"/>
    <s v="US"/>
    <s v="USD"/>
    <n v="1528088400"/>
    <n v="1532408400"/>
    <b v="0"/>
    <b v="0"/>
    <s v="theater/plays"/>
    <n v="89.618243243243242"/>
    <n v="60.981609195402299"/>
    <x v="3"/>
    <s v="plays"/>
    <x v="384"/>
    <d v="1974-11-09T14:54:00"/>
  </r>
  <r>
    <n v="406"/>
    <s v="Lyons Inc"/>
    <s v="Balanced attitude-oriented parallelism"/>
    <n v="39300"/>
    <n v="71583"/>
    <x v="1"/>
    <n v="645"/>
    <s v="US"/>
    <s v="USD"/>
    <n v="1359525600"/>
    <n v="1360562400"/>
    <b v="1"/>
    <b v="0"/>
    <s v="film &amp; video/documentary"/>
    <n v="182.14503816793894"/>
    <n v="110.98139534883721"/>
    <x v="4"/>
    <s v="documentary"/>
    <x v="385"/>
    <d v="1974-04-24T17:24:00"/>
  </r>
  <r>
    <n v="407"/>
    <s v="Herrera-Wilson"/>
    <s v="Organized bandwidth-monitored core"/>
    <n v="3400"/>
    <n v="12100"/>
    <x v="1"/>
    <n v="484"/>
    <s v="DK"/>
    <s v="DKK"/>
    <n v="1570942800"/>
    <n v="1571547600"/>
    <b v="0"/>
    <b v="0"/>
    <s v="theater/plays"/>
    <n v="355.88235294117646"/>
    <n v="25"/>
    <x v="3"/>
    <s v="plays"/>
    <x v="386"/>
    <d v="1974-12-24T22:06:00"/>
  </r>
  <r>
    <n v="408"/>
    <s v="Mahoney, Adams and Lucas"/>
    <s v="Cloned leadingedge utilization"/>
    <n v="9200"/>
    <n v="12129"/>
    <x v="1"/>
    <n v="154"/>
    <s v="CA"/>
    <s v="CAD"/>
    <n v="1466398800"/>
    <n v="1468126800"/>
    <b v="0"/>
    <b v="0"/>
    <s v="film &amp; video/documentary"/>
    <n v="131.83695652173913"/>
    <n v="78.759740259740255"/>
    <x v="4"/>
    <s v="documentary"/>
    <x v="387"/>
    <d v="1974-08-27T05:18:00"/>
  </r>
  <r>
    <n v="409"/>
    <s v="Stewart LLC"/>
    <s v="Secured asymmetric projection"/>
    <n v="135600"/>
    <n v="62804"/>
    <x v="0"/>
    <n v="714"/>
    <s v="US"/>
    <s v="USD"/>
    <n v="1492491600"/>
    <n v="1492837200"/>
    <b v="0"/>
    <b v="0"/>
    <s v="music/rock"/>
    <n v="46.315634218289084"/>
    <n v="87.960784313725483"/>
    <x v="1"/>
    <s v="rock"/>
    <x v="388"/>
    <d v="1974-09-24T19:42:00"/>
  </r>
  <r>
    <n v="410"/>
    <s v="Mcmillan Group"/>
    <s v="Advanced cohesive Graphic Interface"/>
    <n v="153700"/>
    <n v="55536"/>
    <x v="2"/>
    <n v="1111"/>
    <s v="US"/>
    <s v="USD"/>
    <n v="1430197200"/>
    <n v="1430197200"/>
    <b v="0"/>
    <b v="0"/>
    <s v="games/mobile games"/>
    <n v="36.132726089785294"/>
    <n v="49.987398739873989"/>
    <x v="6"/>
    <s v="mobile games"/>
    <x v="277"/>
    <d v="1974-07-14T07:42:00"/>
  </r>
  <r>
    <n v="411"/>
    <s v="Beck, Thompson and Martinez"/>
    <s v="Down-sized maximized function"/>
    <n v="7800"/>
    <n v="8161"/>
    <x v="1"/>
    <n v="82"/>
    <s v="US"/>
    <s v="USD"/>
    <n v="1496034000"/>
    <n v="1496206800"/>
    <b v="0"/>
    <b v="0"/>
    <s v="theater/plays"/>
    <n v="104.62820512820512"/>
    <n v="99.524390243902445"/>
    <x v="3"/>
    <s v="plays"/>
    <x v="389"/>
    <d v="1974-09-28T17:18:00"/>
  </r>
  <r>
    <n v="412"/>
    <s v="Rodriguez-Scott"/>
    <s v="Realigned zero tolerance software"/>
    <n v="2100"/>
    <n v="14046"/>
    <x v="1"/>
    <n v="134"/>
    <s v="US"/>
    <s v="USD"/>
    <n v="1388728800"/>
    <n v="1389592800"/>
    <b v="0"/>
    <b v="0"/>
    <s v="publishing/fiction"/>
    <n v="668.85714285714289"/>
    <n v="104.82089552238806"/>
    <x v="5"/>
    <s v="fiction"/>
    <x v="390"/>
    <d v="1974-05-28T07:48:00"/>
  </r>
  <r>
    <n v="413"/>
    <s v="Rush-Bowers"/>
    <s v="Persevering analyzing extranet"/>
    <n v="189500"/>
    <n v="117628"/>
    <x v="2"/>
    <n v="1089"/>
    <s v="US"/>
    <s v="USD"/>
    <n v="1543298400"/>
    <n v="1545631200"/>
    <b v="0"/>
    <b v="0"/>
    <s v="film &amp; video/animation"/>
    <n v="62.072823218997364"/>
    <n v="108.01469237832875"/>
    <x v="4"/>
    <s v="animation"/>
    <x v="391"/>
    <d v="1974-11-24T22:12:00"/>
  </r>
  <r>
    <n v="414"/>
    <s v="Davis and Sons"/>
    <s v="Innovative human-resource migration"/>
    <n v="188200"/>
    <n v="159405"/>
    <x v="0"/>
    <n v="5497"/>
    <s v="US"/>
    <s v="USD"/>
    <n v="1271739600"/>
    <n v="1272430800"/>
    <b v="0"/>
    <b v="1"/>
    <s v="food/food trucks"/>
    <n v="84.699787460148784"/>
    <n v="28.998544660724033"/>
    <x v="0"/>
    <s v="food trucks"/>
    <x v="392"/>
    <d v="1974-01-12T17:18:00"/>
  </r>
  <r>
    <n v="415"/>
    <s v="Anderson-Pham"/>
    <s v="Intuitive needs-based monitoring"/>
    <n v="113500"/>
    <n v="12552"/>
    <x v="0"/>
    <n v="418"/>
    <s v="US"/>
    <s v="USD"/>
    <n v="1326434400"/>
    <n v="1327903200"/>
    <b v="0"/>
    <b v="0"/>
    <s v="theater/plays"/>
    <n v="11.059030837004405"/>
    <n v="30.028708133971293"/>
    <x v="3"/>
    <s v="plays"/>
    <x v="393"/>
    <d v="1974-03-17T22:12:00"/>
  </r>
  <r>
    <n v="416"/>
    <s v="Stewart-Coleman"/>
    <s v="Customer-focused disintermediate toolset"/>
    <n v="134600"/>
    <n v="59007"/>
    <x v="0"/>
    <n v="1439"/>
    <s v="US"/>
    <s v="USD"/>
    <n v="1295244000"/>
    <n v="1296021600"/>
    <b v="0"/>
    <b v="1"/>
    <s v="film &amp; video/documentary"/>
    <n v="43.838781575037146"/>
    <n v="41.005559416261292"/>
    <x v="4"/>
    <s v="documentary"/>
    <x v="394"/>
    <d v="1974-02-09T00:36:00"/>
  </r>
  <r>
    <n v="417"/>
    <s v="Bradshaw, Smith and Ryan"/>
    <s v="Upgradable 24/7 emulation"/>
    <n v="1700"/>
    <n v="943"/>
    <x v="0"/>
    <n v="15"/>
    <s v="US"/>
    <s v="USD"/>
    <n v="1541221200"/>
    <n v="1543298400"/>
    <b v="0"/>
    <b v="0"/>
    <s v="theater/plays"/>
    <n v="55.470588235294116"/>
    <n v="62.866666666666667"/>
    <x v="3"/>
    <s v="plays"/>
    <x v="395"/>
    <d v="1974-11-22T05:24:00"/>
  </r>
  <r>
    <n v="418"/>
    <s v="Jackson PLC"/>
    <s v="Quality-focused client-server core"/>
    <n v="163700"/>
    <n v="93963"/>
    <x v="0"/>
    <n v="1999"/>
    <s v="CA"/>
    <s v="CAD"/>
    <n v="1336280400"/>
    <n v="1336366800"/>
    <b v="0"/>
    <b v="0"/>
    <s v="film &amp; video/documentary"/>
    <n v="57.399511301160658"/>
    <n v="47.005002501250623"/>
    <x v="4"/>
    <s v="documentary"/>
    <x v="396"/>
    <d v="1974-03-27T17:18:00"/>
  </r>
  <r>
    <n v="419"/>
    <s v="Ware-Arias"/>
    <s v="Upgradable maximized protocol"/>
    <n v="113800"/>
    <n v="140469"/>
    <x v="1"/>
    <n v="5203"/>
    <s v="US"/>
    <s v="USD"/>
    <n v="1324533600"/>
    <n v="1325052000"/>
    <b v="0"/>
    <b v="0"/>
    <s v="technology/web"/>
    <n v="123.43497363796135"/>
    <n v="26.997693638285604"/>
    <x v="2"/>
    <s v="web"/>
    <x v="397"/>
    <d v="1974-03-14T15:00:00"/>
  </r>
  <r>
    <n v="420"/>
    <s v="Blair, Reyes and Woods"/>
    <s v="Cross-platform interactive synergy"/>
    <n v="5000"/>
    <n v="6423"/>
    <x v="1"/>
    <n v="94"/>
    <s v="US"/>
    <s v="USD"/>
    <n v="1498366800"/>
    <n v="1499576400"/>
    <b v="0"/>
    <b v="0"/>
    <s v="theater/plays"/>
    <n v="128.46"/>
    <n v="68.329787234042556"/>
    <x v="3"/>
    <s v="plays"/>
    <x v="398"/>
    <d v="1974-10-02T14:54:00"/>
  </r>
  <r>
    <n v="421"/>
    <s v="Thomas-Lopez"/>
    <s v="User-centric fault-tolerant archive"/>
    <n v="9400"/>
    <n v="6015"/>
    <x v="0"/>
    <n v="118"/>
    <s v="US"/>
    <s v="USD"/>
    <n v="1498712400"/>
    <n v="1501304400"/>
    <b v="0"/>
    <b v="1"/>
    <s v="technology/wearables"/>
    <n v="63.989361702127653"/>
    <n v="50.974576271186443"/>
    <x v="2"/>
    <s v="wearables"/>
    <x v="399"/>
    <d v="1974-10-04T14:54:00"/>
  </r>
  <r>
    <n v="422"/>
    <s v="Brown, Davies and Pacheco"/>
    <s v="Reverse-engineered regional knowledge user"/>
    <n v="8700"/>
    <n v="11075"/>
    <x v="1"/>
    <n v="205"/>
    <s v="US"/>
    <s v="USD"/>
    <n v="1271480400"/>
    <n v="1273208400"/>
    <b v="0"/>
    <b v="1"/>
    <s v="theater/plays"/>
    <n v="127.29885057471265"/>
    <n v="54.024390243902438"/>
    <x v="3"/>
    <s v="plays"/>
    <x v="400"/>
    <d v="1974-01-13T14:54:00"/>
  </r>
  <r>
    <n v="423"/>
    <s v="Jones-Riddle"/>
    <s v="Self-enabling real-time definition"/>
    <n v="147800"/>
    <n v="15723"/>
    <x v="0"/>
    <n v="162"/>
    <s v="US"/>
    <s v="USD"/>
    <n v="1316667600"/>
    <n v="1316840400"/>
    <b v="0"/>
    <b v="1"/>
    <s v="food/food trucks"/>
    <n v="10.638024357239512"/>
    <n v="97.055555555555557"/>
    <x v="0"/>
    <s v="food trucks"/>
    <x v="116"/>
    <d v="1974-03-05T02:54:00"/>
  </r>
  <r>
    <n v="424"/>
    <s v="Schmidt-Gomez"/>
    <s v="User-centric impactful projection"/>
    <n v="5100"/>
    <n v="2064"/>
    <x v="0"/>
    <n v="83"/>
    <s v="US"/>
    <s v="USD"/>
    <n v="1524027600"/>
    <n v="1524546000"/>
    <b v="0"/>
    <b v="0"/>
    <s v="music/indie rock"/>
    <n v="40.470588235294116"/>
    <n v="24.867469879518072"/>
    <x v="1"/>
    <s v="indie rock"/>
    <x v="401"/>
    <d v="1974-10-31T12:30:00"/>
  </r>
  <r>
    <n v="425"/>
    <s v="Sullivan, Davis and Booth"/>
    <s v="Vision-oriented actuating hardware"/>
    <n v="2700"/>
    <n v="7767"/>
    <x v="1"/>
    <n v="92"/>
    <s v="US"/>
    <s v="USD"/>
    <n v="1438059600"/>
    <n v="1438578000"/>
    <b v="0"/>
    <b v="0"/>
    <s v="photography/photography books"/>
    <n v="287.66666666666663"/>
    <n v="84.423913043478265"/>
    <x v="7"/>
    <s v="photography books"/>
    <x v="402"/>
    <d v="1974-07-24T00:30:00"/>
  </r>
  <r>
    <n v="426"/>
    <s v="Edwards-Kane"/>
    <s v="Virtual leadingedge framework"/>
    <n v="1800"/>
    <n v="10313"/>
    <x v="1"/>
    <n v="219"/>
    <s v="US"/>
    <s v="USD"/>
    <n v="1361944800"/>
    <n v="1362549600"/>
    <b v="0"/>
    <b v="0"/>
    <s v="theater/plays"/>
    <n v="572.94444444444446"/>
    <n v="47.091324200913242"/>
    <x v="3"/>
    <s v="plays"/>
    <x v="403"/>
    <d v="1974-04-27T00:36:00"/>
  </r>
  <r>
    <n v="427"/>
    <s v="Hicks, Wall and Webb"/>
    <s v="Managed discrete framework"/>
    <n v="174500"/>
    <n v="197018"/>
    <x v="1"/>
    <n v="2526"/>
    <s v="US"/>
    <s v="USD"/>
    <n v="1410584400"/>
    <n v="1413349200"/>
    <b v="0"/>
    <b v="1"/>
    <s v="theater/plays"/>
    <n v="112.90429799426933"/>
    <n v="77.996041171813147"/>
    <x v="3"/>
    <s v="plays"/>
    <x v="404"/>
    <d v="1974-06-24T19:42:00"/>
  </r>
  <r>
    <n v="428"/>
    <s v="Mayer-Richmond"/>
    <s v="Progressive zero-defect capability"/>
    <n v="101400"/>
    <n v="47037"/>
    <x v="0"/>
    <n v="747"/>
    <s v="US"/>
    <s v="USD"/>
    <n v="1297404000"/>
    <n v="1298008800"/>
    <b v="0"/>
    <b v="0"/>
    <s v="film &amp; video/animation"/>
    <n v="46.387573964497044"/>
    <n v="62.967871485943775"/>
    <x v="4"/>
    <s v="animation"/>
    <x v="405"/>
    <d v="1974-02-11T07:48:00"/>
  </r>
  <r>
    <n v="429"/>
    <s v="Robles Ltd"/>
    <s v="Right-sized demand-driven adapter"/>
    <n v="191000"/>
    <n v="173191"/>
    <x v="3"/>
    <n v="2138"/>
    <s v="US"/>
    <s v="USD"/>
    <n v="1392012000"/>
    <n v="1394427600"/>
    <b v="0"/>
    <b v="1"/>
    <s v="photography/photography books"/>
    <n v="90.675916230366497"/>
    <n v="81.006080449017773"/>
    <x v="7"/>
    <s v="photography books"/>
    <x v="406"/>
    <d v="1974-06-02T22:06:00"/>
  </r>
  <r>
    <n v="430"/>
    <s v="Cochran Ltd"/>
    <s v="Re-engineered attitude-oriented frame"/>
    <n v="8100"/>
    <n v="5487"/>
    <x v="0"/>
    <n v="84"/>
    <s v="US"/>
    <s v="USD"/>
    <n v="1569733200"/>
    <n v="1572670800"/>
    <b v="0"/>
    <b v="0"/>
    <s v="theater/plays"/>
    <n v="67.740740740740748"/>
    <n v="65.321428571428569"/>
    <x v="3"/>
    <s v="plays"/>
    <x v="407"/>
    <d v="1974-12-26T05:18:00"/>
  </r>
  <r>
    <n v="431"/>
    <s v="Rosales LLC"/>
    <s v="Compatible multimedia utilization"/>
    <n v="5100"/>
    <n v="9817"/>
    <x v="1"/>
    <n v="94"/>
    <s v="US"/>
    <s v="USD"/>
    <n v="1529643600"/>
    <n v="1531112400"/>
    <b v="1"/>
    <b v="0"/>
    <s v="theater/plays"/>
    <n v="192.49019607843135"/>
    <n v="104.43617021276596"/>
    <x v="3"/>
    <s v="plays"/>
    <x v="408"/>
    <d v="1974-11-08T02:54:00"/>
  </r>
  <r>
    <n v="432"/>
    <s v="Harper-Bryan"/>
    <s v="Re-contextualized dedicated hardware"/>
    <n v="7700"/>
    <n v="6369"/>
    <x v="0"/>
    <n v="91"/>
    <s v="US"/>
    <s v="USD"/>
    <n v="1399006800"/>
    <n v="1400734800"/>
    <b v="0"/>
    <b v="0"/>
    <s v="theater/plays"/>
    <n v="82.714285714285722"/>
    <n v="69.989010989010993"/>
    <x v="3"/>
    <s v="plays"/>
    <x v="409"/>
    <d v="1974-06-10T05:18:00"/>
  </r>
  <r>
    <n v="433"/>
    <s v="Potter, Harper and Everett"/>
    <s v="Decentralized composite paradigm"/>
    <n v="121400"/>
    <n v="65755"/>
    <x v="0"/>
    <n v="792"/>
    <s v="US"/>
    <s v="USD"/>
    <n v="1385359200"/>
    <n v="1386741600"/>
    <b v="0"/>
    <b v="1"/>
    <s v="film &amp; video/documentary"/>
    <n v="54.163920922570021"/>
    <n v="83.023989898989896"/>
    <x v="4"/>
    <s v="documentary"/>
    <x v="410"/>
    <d v="1974-05-25T00:36:00"/>
  </r>
  <r>
    <n v="434"/>
    <s v="Floyd-Sims"/>
    <s v="Cloned transitional hierarchy"/>
    <n v="5400"/>
    <n v="903"/>
    <x v="3"/>
    <n v="10"/>
    <s v="CA"/>
    <s v="CAD"/>
    <n v="1480572000"/>
    <n v="1481781600"/>
    <b v="1"/>
    <b v="0"/>
    <s v="theater/plays"/>
    <n v="16.722222222222221"/>
    <n v="90.3"/>
    <x v="3"/>
    <s v="plays"/>
    <x v="411"/>
    <d v="1974-09-12T00:36:00"/>
  </r>
  <r>
    <n v="435"/>
    <s v="Spence, Jackson and Kelly"/>
    <s v="Advanced discrete leverage"/>
    <n v="152400"/>
    <n v="178120"/>
    <x v="1"/>
    <n v="1713"/>
    <s v="IT"/>
    <s v="EUR"/>
    <n v="1418623200"/>
    <n v="1419660000"/>
    <b v="0"/>
    <b v="1"/>
    <s v="theater/plays"/>
    <n v="116.87664041994749"/>
    <n v="103.98131932282546"/>
    <x v="3"/>
    <s v="plays"/>
    <x v="412"/>
    <d v="1974-07-02T03:00:00"/>
  </r>
  <r>
    <n v="436"/>
    <s v="King-Nguyen"/>
    <s v="Open-source incremental throughput"/>
    <n v="1300"/>
    <n v="13678"/>
    <x v="1"/>
    <n v="249"/>
    <s v="US"/>
    <s v="USD"/>
    <n v="1555736400"/>
    <n v="1555822800"/>
    <b v="0"/>
    <b v="0"/>
    <s v="music/jazz"/>
    <n v="1052.1538461538462"/>
    <n v="54.931726907630519"/>
    <x v="1"/>
    <s v="jazz"/>
    <x v="413"/>
    <d v="1974-12-06T17:18:00"/>
  </r>
  <r>
    <n v="437"/>
    <s v="Hansen Group"/>
    <s v="Centralized regional interface"/>
    <n v="8100"/>
    <n v="9969"/>
    <x v="1"/>
    <n v="192"/>
    <s v="US"/>
    <s v="USD"/>
    <n v="1442120400"/>
    <n v="1442379600"/>
    <b v="0"/>
    <b v="1"/>
    <s v="film &amp; video/animation"/>
    <n v="123.07407407407408"/>
    <n v="51.921875"/>
    <x v="4"/>
    <s v="animation"/>
    <x v="414"/>
    <d v="1974-07-28T10:06:00"/>
  </r>
  <r>
    <n v="438"/>
    <s v="Mathis, Hall and Hansen"/>
    <s v="Streamlined web-enabled knowledgebase"/>
    <n v="8300"/>
    <n v="14827"/>
    <x v="1"/>
    <n v="247"/>
    <s v="US"/>
    <s v="USD"/>
    <n v="1362376800"/>
    <n v="1364965200"/>
    <b v="0"/>
    <b v="0"/>
    <s v="theater/plays"/>
    <n v="178.63855421686748"/>
    <n v="60.02834008097166"/>
    <x v="3"/>
    <s v="plays"/>
    <x v="415"/>
    <d v="1974-04-29T19:42:00"/>
  </r>
  <r>
    <n v="439"/>
    <s v="Cummings Inc"/>
    <s v="Digitized transitional monitoring"/>
    <n v="28400"/>
    <n v="100900"/>
    <x v="1"/>
    <n v="2293"/>
    <s v="US"/>
    <s v="USD"/>
    <n v="1478408400"/>
    <n v="1479016800"/>
    <b v="0"/>
    <b v="0"/>
    <s v="film &amp; video/science fiction"/>
    <n v="355.28169014084506"/>
    <n v="44.003488879197555"/>
    <x v="4"/>
    <s v="science fiction"/>
    <x v="416"/>
    <d v="1974-09-08T19:48:00"/>
  </r>
  <r>
    <n v="440"/>
    <s v="Miller-Poole"/>
    <s v="Networked optimal adapter"/>
    <n v="102500"/>
    <n v="165954"/>
    <x v="1"/>
    <n v="3131"/>
    <s v="US"/>
    <s v="USD"/>
    <n v="1498798800"/>
    <n v="1499662800"/>
    <b v="0"/>
    <b v="0"/>
    <s v="film &amp; video/television"/>
    <n v="161.90634146341463"/>
    <n v="53.003513254551258"/>
    <x v="4"/>
    <s v="television"/>
    <x v="417"/>
    <d v="1974-10-02T17:18:00"/>
  </r>
  <r>
    <n v="441"/>
    <s v="Rodriguez-West"/>
    <s v="Automated optimal function"/>
    <n v="7000"/>
    <n v="1744"/>
    <x v="0"/>
    <n v="32"/>
    <s v="US"/>
    <s v="USD"/>
    <n v="1335416400"/>
    <n v="1337835600"/>
    <b v="0"/>
    <b v="0"/>
    <s v="technology/wearables"/>
    <n v="24.914285714285715"/>
    <n v="54.5"/>
    <x v="2"/>
    <s v="wearables"/>
    <x v="418"/>
    <d v="1974-03-29T10:06:00"/>
  </r>
  <r>
    <n v="442"/>
    <s v="Calderon, Bradford and Dean"/>
    <s v="Devolved system-worthy framework"/>
    <n v="5400"/>
    <n v="10731"/>
    <x v="1"/>
    <n v="143"/>
    <s v="IT"/>
    <s v="EUR"/>
    <n v="1504328400"/>
    <n v="1505710800"/>
    <b v="0"/>
    <b v="0"/>
    <s v="theater/plays"/>
    <n v="198.72222222222223"/>
    <n v="75.04195804195804"/>
    <x v="3"/>
    <s v="plays"/>
    <x v="419"/>
    <d v="1974-10-09T17:18:00"/>
  </r>
  <r>
    <n v="443"/>
    <s v="Clark-Bowman"/>
    <s v="Stand-alone user-facing service-desk"/>
    <n v="9300"/>
    <n v="3232"/>
    <x v="3"/>
    <n v="90"/>
    <s v="US"/>
    <s v="USD"/>
    <n v="1285822800"/>
    <n v="1287464400"/>
    <b v="0"/>
    <b v="0"/>
    <s v="theater/plays"/>
    <n v="34.752688172043008"/>
    <n v="35.911111111111111"/>
    <x v="3"/>
    <s v="plays"/>
    <x v="420"/>
    <d v="1974-01-30T02:54:00"/>
  </r>
  <r>
    <n v="444"/>
    <s v="Hensley Ltd"/>
    <s v="Versatile global attitude"/>
    <n v="6200"/>
    <n v="10938"/>
    <x v="1"/>
    <n v="296"/>
    <s v="US"/>
    <s v="USD"/>
    <n v="1311483600"/>
    <n v="1311656400"/>
    <b v="0"/>
    <b v="1"/>
    <s v="music/indie rock"/>
    <n v="176.41935483870967"/>
    <n v="36.952702702702702"/>
    <x v="1"/>
    <s v="indie rock"/>
    <x v="421"/>
    <d v="1974-02-27T02:54:00"/>
  </r>
  <r>
    <n v="445"/>
    <s v="Anderson-Pearson"/>
    <s v="Intuitive demand-driven Local Area Network"/>
    <n v="2100"/>
    <n v="10739"/>
    <x v="1"/>
    <n v="170"/>
    <s v="US"/>
    <s v="USD"/>
    <n v="1291356000"/>
    <n v="1293170400"/>
    <b v="0"/>
    <b v="1"/>
    <s v="theater/plays"/>
    <n v="511.38095238095235"/>
    <n v="63.170588235294119"/>
    <x v="3"/>
    <s v="plays"/>
    <x v="422"/>
    <d v="1974-02-05T17:24:00"/>
  </r>
  <r>
    <n v="446"/>
    <s v="Martin, Martin and Solis"/>
    <s v="Assimilated uniform methodology"/>
    <n v="6800"/>
    <n v="5579"/>
    <x v="0"/>
    <n v="186"/>
    <s v="US"/>
    <s v="USD"/>
    <n v="1355810400"/>
    <n v="1355983200"/>
    <b v="0"/>
    <b v="0"/>
    <s v="technology/wearables"/>
    <n v="82.044117647058826"/>
    <n v="29.99462365591398"/>
    <x v="2"/>
    <s v="wearables"/>
    <x v="423"/>
    <d v="1974-04-19T10:12:00"/>
  </r>
  <r>
    <n v="447"/>
    <s v="Harrington-Harper"/>
    <s v="Self-enabling next generation algorithm"/>
    <n v="155200"/>
    <n v="37754"/>
    <x v="3"/>
    <n v="439"/>
    <s v="GB"/>
    <s v="GBP"/>
    <n v="1513663200"/>
    <n v="1515045600"/>
    <b v="0"/>
    <b v="0"/>
    <s v="film &amp; video/television"/>
    <n v="24.326030927835053"/>
    <n v="86"/>
    <x v="4"/>
    <s v="television"/>
    <x v="424"/>
    <d v="1974-10-20T12:36:00"/>
  </r>
  <r>
    <n v="448"/>
    <s v="Price and Sons"/>
    <s v="Object-based demand-driven strategy"/>
    <n v="89900"/>
    <n v="45384"/>
    <x v="0"/>
    <n v="605"/>
    <s v="US"/>
    <s v="USD"/>
    <n v="1365915600"/>
    <n v="1366088400"/>
    <b v="0"/>
    <b v="1"/>
    <s v="games/video games"/>
    <n v="50.482758620689658"/>
    <n v="75.014876033057845"/>
    <x v="6"/>
    <s v="video games"/>
    <x v="425"/>
    <d v="1974-05-01T02:54:00"/>
  </r>
  <r>
    <n v="449"/>
    <s v="Cuevas-Morales"/>
    <s v="Public-key coherent ability"/>
    <n v="900"/>
    <n v="8703"/>
    <x v="1"/>
    <n v="86"/>
    <s v="DK"/>
    <s v="DKK"/>
    <n v="1551852000"/>
    <n v="1553317200"/>
    <b v="0"/>
    <b v="0"/>
    <s v="games/video games"/>
    <n v="967"/>
    <n v="101.19767441860465"/>
    <x v="6"/>
    <s v="video games"/>
    <x v="426"/>
    <d v="1974-12-03T19:42:00"/>
  </r>
  <r>
    <n v="450"/>
    <s v="Delgado-Hatfield"/>
    <s v="Up-sized composite success"/>
    <n v="100"/>
    <n v="4"/>
    <x v="0"/>
    <n v="1"/>
    <s v="CA"/>
    <s v="CAD"/>
    <n v="1540098000"/>
    <n v="1542088800"/>
    <b v="0"/>
    <b v="0"/>
    <s v="film &amp; video/animation"/>
    <n v="4"/>
    <n v="4"/>
    <x v="4"/>
    <s v="animation"/>
    <x v="427"/>
    <d v="1974-11-20T19:48:00"/>
  </r>
  <r>
    <n v="451"/>
    <s v="Padilla-Porter"/>
    <s v="Innovative exuding matrix"/>
    <n v="148400"/>
    <n v="182302"/>
    <x v="1"/>
    <n v="6286"/>
    <s v="US"/>
    <s v="USD"/>
    <n v="1500440400"/>
    <n v="1503118800"/>
    <b v="0"/>
    <b v="0"/>
    <s v="music/rock"/>
    <n v="122.84501347708894"/>
    <n v="29.001272669424118"/>
    <x v="1"/>
    <s v="rock"/>
    <x v="428"/>
    <d v="1974-10-06T17:18:00"/>
  </r>
  <r>
    <n v="452"/>
    <s v="Morris Group"/>
    <s v="Realigned impactful artificial intelligence"/>
    <n v="4800"/>
    <n v="3045"/>
    <x v="0"/>
    <n v="31"/>
    <s v="US"/>
    <s v="USD"/>
    <n v="1278392400"/>
    <n v="1278478800"/>
    <b v="0"/>
    <b v="0"/>
    <s v="film &amp; video/drama"/>
    <n v="63.4375"/>
    <n v="98.225806451612897"/>
    <x v="4"/>
    <s v="drama"/>
    <x v="429"/>
    <d v="1974-01-19T17:18:00"/>
  </r>
  <r>
    <n v="453"/>
    <s v="Saunders Ltd"/>
    <s v="Multi-layered multi-tasking secured line"/>
    <n v="182400"/>
    <n v="102749"/>
    <x v="0"/>
    <n v="1181"/>
    <s v="US"/>
    <s v="USD"/>
    <n v="1480572000"/>
    <n v="1484114400"/>
    <b v="0"/>
    <b v="0"/>
    <s v="film &amp; video/science fiction"/>
    <n v="56.331688596491226"/>
    <n v="87.001693480101608"/>
    <x v="4"/>
    <s v="science fiction"/>
    <x v="411"/>
    <d v="1974-09-14T17:24:00"/>
  </r>
  <r>
    <n v="454"/>
    <s v="Woods Inc"/>
    <s v="Upgradable upward-trending portal"/>
    <n v="4000"/>
    <n v="1763"/>
    <x v="0"/>
    <n v="39"/>
    <s v="US"/>
    <s v="USD"/>
    <n v="1382331600"/>
    <n v="1385445600"/>
    <b v="0"/>
    <b v="1"/>
    <s v="film &amp; video/drama"/>
    <n v="44.074999999999996"/>
    <n v="45.205128205128204"/>
    <x v="4"/>
    <s v="drama"/>
    <x v="430"/>
    <d v="1974-05-23T12:36:00"/>
  </r>
  <r>
    <n v="455"/>
    <s v="Villanueva, Wright and Richardson"/>
    <s v="Profit-focused global product"/>
    <n v="116500"/>
    <n v="137904"/>
    <x v="1"/>
    <n v="3727"/>
    <s v="US"/>
    <s v="USD"/>
    <n v="1316754000"/>
    <n v="1318741200"/>
    <b v="0"/>
    <b v="0"/>
    <s v="theater/plays"/>
    <n v="118.37253218884121"/>
    <n v="37.001341561577675"/>
    <x v="3"/>
    <s v="plays"/>
    <x v="431"/>
    <d v="1974-03-07T07:42:00"/>
  </r>
  <r>
    <n v="456"/>
    <s v="Wilson, Brooks and Clark"/>
    <s v="Operative well-modulated data-warehouse"/>
    <n v="146400"/>
    <n v="152438"/>
    <x v="1"/>
    <n v="1605"/>
    <s v="US"/>
    <s v="USD"/>
    <n v="1518242400"/>
    <n v="1518242400"/>
    <b v="0"/>
    <b v="1"/>
    <s v="music/indie rock"/>
    <n v="104.1243169398907"/>
    <n v="94.976947040498445"/>
    <x v="1"/>
    <s v="indie rock"/>
    <x v="432"/>
    <d v="1974-10-24T05:24:00"/>
  </r>
  <r>
    <n v="457"/>
    <s v="Sheppard, Smith and Spence"/>
    <s v="Cloned asymmetric functionalities"/>
    <n v="5000"/>
    <n v="1332"/>
    <x v="0"/>
    <n v="46"/>
    <s v="US"/>
    <s v="USD"/>
    <n v="1476421200"/>
    <n v="1476594000"/>
    <b v="0"/>
    <b v="0"/>
    <s v="theater/plays"/>
    <n v="26.640000000000004"/>
    <n v="28.956521739130434"/>
    <x v="3"/>
    <s v="plays"/>
    <x v="433"/>
    <d v="1974-09-06T00:30:00"/>
  </r>
  <r>
    <n v="458"/>
    <s v="Wise, Thompson and Allen"/>
    <s v="Pre-emptive neutral portal"/>
    <n v="33800"/>
    <n v="118706"/>
    <x v="1"/>
    <n v="2120"/>
    <s v="US"/>
    <s v="USD"/>
    <n v="1269752400"/>
    <n v="1273554000"/>
    <b v="0"/>
    <b v="0"/>
    <s v="theater/plays"/>
    <n v="351.20118343195264"/>
    <n v="55.993396226415094"/>
    <x v="3"/>
    <s v="plays"/>
    <x v="434"/>
    <d v="1974-01-14T00:30:00"/>
  </r>
  <r>
    <n v="459"/>
    <s v="Lane, Ryan and Chapman"/>
    <s v="Switchable demand-driven help-desk"/>
    <n v="6300"/>
    <n v="5674"/>
    <x v="0"/>
    <n v="105"/>
    <s v="US"/>
    <s v="USD"/>
    <n v="1419746400"/>
    <n v="1421906400"/>
    <b v="0"/>
    <b v="0"/>
    <s v="film &amp; video/documentary"/>
    <n v="90.063492063492063"/>
    <n v="54.038095238095238"/>
    <x v="4"/>
    <s v="documentary"/>
    <x v="435"/>
    <d v="1974-07-04T17:24:00"/>
  </r>
  <r>
    <n v="460"/>
    <s v="Rich, Alvarez and King"/>
    <s v="Business-focused static ability"/>
    <n v="2400"/>
    <n v="4119"/>
    <x v="1"/>
    <n v="50"/>
    <s v="US"/>
    <s v="USD"/>
    <n v="1281330000"/>
    <n v="1281589200"/>
    <b v="0"/>
    <b v="0"/>
    <s v="theater/plays"/>
    <n v="171.625"/>
    <n v="82.38"/>
    <x v="3"/>
    <s v="plays"/>
    <x v="8"/>
    <d v="1974-01-23T07:42:00"/>
  </r>
  <r>
    <n v="461"/>
    <s v="Terry-Salinas"/>
    <s v="Networked secondary structure"/>
    <n v="98800"/>
    <n v="139354"/>
    <x v="1"/>
    <n v="2080"/>
    <s v="US"/>
    <s v="USD"/>
    <n v="1398661200"/>
    <n v="1400389200"/>
    <b v="0"/>
    <b v="0"/>
    <s v="film &amp; video/drama"/>
    <n v="141.04655870445345"/>
    <n v="66.997115384615384"/>
    <x v="4"/>
    <s v="drama"/>
    <x v="436"/>
    <d v="1974-06-09T19:42:00"/>
  </r>
  <r>
    <n v="462"/>
    <s v="Wang-Rodriguez"/>
    <s v="Total multimedia website"/>
    <n v="188800"/>
    <n v="57734"/>
    <x v="0"/>
    <n v="535"/>
    <s v="US"/>
    <s v="USD"/>
    <n v="1359525600"/>
    <n v="1362808800"/>
    <b v="0"/>
    <b v="0"/>
    <s v="games/mobile games"/>
    <n v="30.57944915254237"/>
    <n v="107.91401869158878"/>
    <x v="6"/>
    <s v="mobile games"/>
    <x v="385"/>
    <d v="1974-04-27T07:48:00"/>
  </r>
  <r>
    <n v="463"/>
    <s v="Mckee-Hill"/>
    <s v="Cross-platform upward-trending parallelism"/>
    <n v="134300"/>
    <n v="145265"/>
    <x v="1"/>
    <n v="2105"/>
    <s v="US"/>
    <s v="USD"/>
    <n v="1388469600"/>
    <n v="1388815200"/>
    <b v="0"/>
    <b v="0"/>
    <s v="film &amp; video/animation"/>
    <n v="108.16455696202532"/>
    <n v="69.009501187648453"/>
    <x v="4"/>
    <s v="animation"/>
    <x v="437"/>
    <d v="1974-05-27T10:12:00"/>
  </r>
  <r>
    <n v="464"/>
    <s v="Gomez LLC"/>
    <s v="Pre-emptive mission-critical hardware"/>
    <n v="71200"/>
    <n v="95020"/>
    <x v="1"/>
    <n v="2436"/>
    <s v="US"/>
    <s v="USD"/>
    <n v="1518328800"/>
    <n v="1519538400"/>
    <b v="0"/>
    <b v="0"/>
    <s v="theater/plays"/>
    <n v="133.45505617977528"/>
    <n v="39.006568144499177"/>
    <x v="3"/>
    <s v="plays"/>
    <x v="438"/>
    <d v="1974-10-25T17:24:00"/>
  </r>
  <r>
    <n v="465"/>
    <s v="Gonzalez-Robbins"/>
    <s v="Up-sized responsive protocol"/>
    <n v="4700"/>
    <n v="8829"/>
    <x v="1"/>
    <n v="80"/>
    <s v="US"/>
    <s v="USD"/>
    <n v="1517032800"/>
    <n v="1517810400"/>
    <b v="0"/>
    <b v="0"/>
    <s v="publishing/translations"/>
    <n v="187.85106382978722"/>
    <n v="110.3625"/>
    <x v="5"/>
    <s v="translations"/>
    <x v="439"/>
    <d v="1974-10-23T17:24:00"/>
  </r>
  <r>
    <n v="466"/>
    <s v="Obrien and Sons"/>
    <s v="Pre-emptive transitional frame"/>
    <n v="1200"/>
    <n v="3984"/>
    <x v="1"/>
    <n v="42"/>
    <s v="US"/>
    <s v="USD"/>
    <n v="1368594000"/>
    <n v="1370581200"/>
    <b v="0"/>
    <b v="1"/>
    <s v="technology/wearables"/>
    <n v="332"/>
    <n v="94.857142857142861"/>
    <x v="2"/>
    <s v="wearables"/>
    <x v="440"/>
    <d v="1974-05-06T07:42:00"/>
  </r>
  <r>
    <n v="467"/>
    <s v="Shaw Ltd"/>
    <s v="Profit-focused content-based application"/>
    <n v="1400"/>
    <n v="8053"/>
    <x v="1"/>
    <n v="139"/>
    <s v="CA"/>
    <s v="CAD"/>
    <n v="1448258400"/>
    <n v="1448863200"/>
    <b v="0"/>
    <b v="1"/>
    <s v="technology/web"/>
    <n v="575.21428571428578"/>
    <n v="57.935251798561154"/>
    <x v="2"/>
    <s v="web"/>
    <x v="441"/>
    <d v="1974-08-04T22:12:00"/>
  </r>
  <r>
    <n v="468"/>
    <s v="Hughes Inc"/>
    <s v="Streamlined neutral analyzer"/>
    <n v="4000"/>
    <n v="1620"/>
    <x v="0"/>
    <n v="16"/>
    <s v="US"/>
    <s v="USD"/>
    <n v="1555218000"/>
    <n v="1556600400"/>
    <b v="0"/>
    <b v="0"/>
    <s v="theater/plays"/>
    <n v="40.5"/>
    <n v="101.25"/>
    <x v="3"/>
    <s v="plays"/>
    <x v="442"/>
    <d v="1974-12-07T14:54:00"/>
  </r>
  <r>
    <n v="469"/>
    <s v="Olsen-Ryan"/>
    <s v="Assimilated neutral utilization"/>
    <n v="5600"/>
    <n v="10328"/>
    <x v="1"/>
    <n v="159"/>
    <s v="US"/>
    <s v="USD"/>
    <n v="1431925200"/>
    <n v="1432098000"/>
    <b v="0"/>
    <b v="0"/>
    <s v="film &amp; video/drama"/>
    <n v="184.42857142857144"/>
    <n v="64.95597484276729"/>
    <x v="4"/>
    <s v="drama"/>
    <x v="443"/>
    <d v="1974-07-16T12:30:00"/>
  </r>
  <r>
    <n v="470"/>
    <s v="Grimes, Holland and Sloan"/>
    <s v="Extended dedicated archive"/>
    <n v="3600"/>
    <n v="10289"/>
    <x v="1"/>
    <n v="381"/>
    <s v="US"/>
    <s v="USD"/>
    <n v="1481522400"/>
    <n v="1482127200"/>
    <b v="0"/>
    <b v="0"/>
    <s v="technology/wearables"/>
    <n v="285.80555555555554"/>
    <n v="27.00524934383202"/>
    <x v="2"/>
    <s v="wearables"/>
    <x v="315"/>
    <d v="1974-09-12T10:12:00"/>
  </r>
  <r>
    <n v="471"/>
    <s v="Perry and Sons"/>
    <s v="Configurable static help-desk"/>
    <n v="3100"/>
    <n v="9889"/>
    <x v="1"/>
    <n v="194"/>
    <s v="GB"/>
    <s v="GBP"/>
    <n v="1335934800"/>
    <n v="1335934800"/>
    <b v="0"/>
    <b v="1"/>
    <s v="food/food trucks"/>
    <n v="319"/>
    <n v="50.97422680412371"/>
    <x v="0"/>
    <s v="food trucks"/>
    <x v="444"/>
    <d v="1974-03-27T05:18:00"/>
  </r>
  <r>
    <n v="472"/>
    <s v="Turner, Young and Collins"/>
    <s v="Self-enabling clear-thinking framework"/>
    <n v="153800"/>
    <n v="60342"/>
    <x v="0"/>
    <n v="575"/>
    <s v="US"/>
    <s v="USD"/>
    <n v="1552280400"/>
    <n v="1556946000"/>
    <b v="0"/>
    <b v="0"/>
    <s v="music/rock"/>
    <n v="39.234070221066318"/>
    <n v="104.94260869565217"/>
    <x v="1"/>
    <s v="rock"/>
    <x v="445"/>
    <d v="1974-12-08T00:30:00"/>
  </r>
  <r>
    <n v="473"/>
    <s v="Richardson Inc"/>
    <s v="Assimilated fault-tolerant capacity"/>
    <n v="5000"/>
    <n v="8907"/>
    <x v="1"/>
    <n v="106"/>
    <s v="US"/>
    <s v="USD"/>
    <n v="1529989200"/>
    <n v="1530075600"/>
    <b v="0"/>
    <b v="0"/>
    <s v="music/electric music"/>
    <n v="178.14000000000001"/>
    <n v="84.028301886792448"/>
    <x v="1"/>
    <s v="electric music"/>
    <x v="446"/>
    <d v="1974-11-06T22:06:00"/>
  </r>
  <r>
    <n v="474"/>
    <s v="Santos-Young"/>
    <s v="Enhanced neutral ability"/>
    <n v="4000"/>
    <n v="14606"/>
    <x v="1"/>
    <n v="142"/>
    <s v="US"/>
    <s v="USD"/>
    <n v="1418709600"/>
    <n v="1418796000"/>
    <b v="0"/>
    <b v="0"/>
    <s v="film &amp; video/television"/>
    <n v="365.15"/>
    <n v="102.85915492957747"/>
    <x v="4"/>
    <s v="television"/>
    <x v="447"/>
    <d v="1974-07-01T03:00:00"/>
  </r>
  <r>
    <n v="475"/>
    <s v="Nichols Ltd"/>
    <s v="Function-based attitude-oriented groupware"/>
    <n v="7400"/>
    <n v="8432"/>
    <x v="1"/>
    <n v="211"/>
    <s v="US"/>
    <s v="USD"/>
    <n v="1372136400"/>
    <n v="1372482000"/>
    <b v="0"/>
    <b v="1"/>
    <s v="publishing/translations"/>
    <n v="113.94594594594594"/>
    <n v="39.962085308056871"/>
    <x v="5"/>
    <s v="translations"/>
    <x v="448"/>
    <d v="1974-05-08T12:30:00"/>
  </r>
  <r>
    <n v="476"/>
    <s v="Murphy PLC"/>
    <s v="Optional solution-oriented instruction set"/>
    <n v="191500"/>
    <n v="57122"/>
    <x v="0"/>
    <n v="1120"/>
    <s v="US"/>
    <s v="USD"/>
    <n v="1533877200"/>
    <n v="1534395600"/>
    <b v="0"/>
    <b v="0"/>
    <s v="publishing/fiction"/>
    <n v="29.828720626631856"/>
    <n v="51.001785714285717"/>
    <x v="5"/>
    <s v="fiction"/>
    <x v="342"/>
    <d v="1974-11-11T22:06:00"/>
  </r>
  <r>
    <n v="477"/>
    <s v="Hogan, Porter and Rivera"/>
    <s v="Organic object-oriented core"/>
    <n v="8500"/>
    <n v="4613"/>
    <x v="0"/>
    <n v="113"/>
    <s v="US"/>
    <s v="USD"/>
    <n v="1309064400"/>
    <n v="1311397200"/>
    <b v="0"/>
    <b v="0"/>
    <s v="film &amp; video/science fiction"/>
    <n v="54.270588235294113"/>
    <n v="40.823008849557525"/>
    <x v="4"/>
    <s v="science fiction"/>
    <x v="449"/>
    <d v="1974-02-26T19:42:00"/>
  </r>
  <r>
    <n v="478"/>
    <s v="Lyons LLC"/>
    <s v="Balanced impactful circuit"/>
    <n v="68800"/>
    <n v="162603"/>
    <x v="1"/>
    <n v="2756"/>
    <s v="US"/>
    <s v="USD"/>
    <n v="1425877200"/>
    <n v="1426914000"/>
    <b v="0"/>
    <b v="0"/>
    <s v="technology/wearables"/>
    <n v="236.34156976744185"/>
    <n v="58.999637155297535"/>
    <x v="2"/>
    <s v="wearables"/>
    <x v="450"/>
    <d v="1974-07-10T12:30:00"/>
  </r>
  <r>
    <n v="479"/>
    <s v="Long-Greene"/>
    <s v="Future-proofed heuristic encryption"/>
    <n v="2400"/>
    <n v="12310"/>
    <x v="1"/>
    <n v="173"/>
    <s v="GB"/>
    <s v="GBP"/>
    <n v="1501304400"/>
    <n v="1501477200"/>
    <b v="0"/>
    <b v="0"/>
    <s v="food/food trucks"/>
    <n v="512.91666666666663"/>
    <n v="71.156069364161851"/>
    <x v="0"/>
    <s v="food trucks"/>
    <x v="451"/>
    <d v="1974-10-04T19:42:00"/>
  </r>
  <r>
    <n v="480"/>
    <s v="Robles-Hudson"/>
    <s v="Balanced bifurcated leverage"/>
    <n v="8600"/>
    <n v="8656"/>
    <x v="1"/>
    <n v="87"/>
    <s v="US"/>
    <s v="USD"/>
    <n v="1268287200"/>
    <n v="1269061200"/>
    <b v="0"/>
    <b v="1"/>
    <s v="photography/photography books"/>
    <n v="100.65116279069768"/>
    <n v="99.494252873563212"/>
    <x v="7"/>
    <s v="photography books"/>
    <x v="452"/>
    <d v="1974-01-08T19:42:00"/>
  </r>
  <r>
    <n v="481"/>
    <s v="Mcclure LLC"/>
    <s v="Sharable discrete budgetary management"/>
    <n v="196600"/>
    <n v="159931"/>
    <x v="0"/>
    <n v="1538"/>
    <s v="US"/>
    <s v="USD"/>
    <n v="1412139600"/>
    <n v="1415772000"/>
    <b v="0"/>
    <b v="1"/>
    <s v="theater/plays"/>
    <n v="81.348423194303152"/>
    <n v="103.98634590377114"/>
    <x v="3"/>
    <s v="plays"/>
    <x v="453"/>
    <d v="1974-06-27T15:00:00"/>
  </r>
  <r>
    <n v="482"/>
    <s v="Martin, Russell and Baker"/>
    <s v="Focused solution-oriented instruction set"/>
    <n v="4200"/>
    <n v="689"/>
    <x v="0"/>
    <n v="9"/>
    <s v="US"/>
    <s v="USD"/>
    <n v="1330063200"/>
    <n v="1331013600"/>
    <b v="0"/>
    <b v="1"/>
    <s v="publishing/fiction"/>
    <n v="16.404761904761905"/>
    <n v="76.555555555555557"/>
    <x v="5"/>
    <s v="fiction"/>
    <x v="454"/>
    <d v="1974-03-21T12:36:00"/>
  </r>
  <r>
    <n v="483"/>
    <s v="Rice-Parker"/>
    <s v="Down-sized actuating infrastructure"/>
    <n v="91400"/>
    <n v="48236"/>
    <x v="0"/>
    <n v="554"/>
    <s v="US"/>
    <s v="USD"/>
    <n v="1576130400"/>
    <n v="1576735200"/>
    <b v="0"/>
    <b v="0"/>
    <s v="theater/plays"/>
    <n v="52.774617067833695"/>
    <n v="87.068592057761734"/>
    <x v="3"/>
    <s v="plays"/>
    <x v="455"/>
    <d v="1974-12-30T22:12:00"/>
  </r>
  <r>
    <n v="484"/>
    <s v="Landry Inc"/>
    <s v="Synergistic cohesive adapter"/>
    <n v="29600"/>
    <n v="77021"/>
    <x v="1"/>
    <n v="1572"/>
    <s v="GB"/>
    <s v="GBP"/>
    <n v="1407128400"/>
    <n v="1411362000"/>
    <b v="0"/>
    <b v="1"/>
    <s v="food/food trucks"/>
    <n v="260.20608108108109"/>
    <n v="48.99554707379135"/>
    <x v="0"/>
    <s v="food trucks"/>
    <x v="456"/>
    <d v="1974-06-22T12:30:00"/>
  </r>
  <r>
    <n v="485"/>
    <s v="Richards-Davis"/>
    <s v="Quality-focused mission-critical structure"/>
    <n v="90600"/>
    <n v="27844"/>
    <x v="0"/>
    <n v="648"/>
    <s v="GB"/>
    <s v="GBP"/>
    <n v="1560142800"/>
    <n v="1563685200"/>
    <b v="0"/>
    <b v="0"/>
    <s v="theater/plays"/>
    <n v="30.73289183222958"/>
    <n v="42.969135802469133"/>
    <x v="3"/>
    <s v="plays"/>
    <x v="457"/>
    <d v="1974-12-15T19:42:00"/>
  </r>
  <r>
    <n v="486"/>
    <s v="Davis, Cox and Fox"/>
    <s v="Compatible exuding Graphical User Interface"/>
    <n v="5200"/>
    <n v="702"/>
    <x v="0"/>
    <n v="21"/>
    <s v="GB"/>
    <s v="GBP"/>
    <n v="1520575200"/>
    <n v="1521867600"/>
    <b v="0"/>
    <b v="1"/>
    <s v="publishing/translations"/>
    <n v="13.5"/>
    <n v="33.428571428571431"/>
    <x v="5"/>
    <s v="translations"/>
    <x v="458"/>
    <d v="1974-10-28T10:06:00"/>
  </r>
  <r>
    <n v="487"/>
    <s v="Smith-Wallace"/>
    <s v="Monitored 24/7 time-frame"/>
    <n v="110300"/>
    <n v="197024"/>
    <x v="1"/>
    <n v="2346"/>
    <s v="US"/>
    <s v="USD"/>
    <n v="1492664400"/>
    <n v="1495515600"/>
    <b v="0"/>
    <b v="0"/>
    <s v="theater/plays"/>
    <n v="178.62556663644605"/>
    <n v="83.982949701619773"/>
    <x v="3"/>
    <s v="plays"/>
    <x v="459"/>
    <d v="1974-09-27T22:06:00"/>
  </r>
  <r>
    <n v="488"/>
    <s v="Cordova, Shaw and Wang"/>
    <s v="Virtual secondary open architecture"/>
    <n v="5300"/>
    <n v="11663"/>
    <x v="1"/>
    <n v="115"/>
    <s v="US"/>
    <s v="USD"/>
    <n v="1454479200"/>
    <n v="1455948000"/>
    <b v="0"/>
    <b v="0"/>
    <s v="theater/plays"/>
    <n v="220.0566037735849"/>
    <n v="101.41739130434783"/>
    <x v="3"/>
    <s v="plays"/>
    <x v="460"/>
    <d v="1974-08-13T03:00:00"/>
  </r>
  <r>
    <n v="489"/>
    <s v="Clark Inc"/>
    <s v="Down-sized mobile time-frame"/>
    <n v="9200"/>
    <n v="9339"/>
    <x v="1"/>
    <n v="85"/>
    <s v="IT"/>
    <s v="EUR"/>
    <n v="1281934800"/>
    <n v="1282366800"/>
    <b v="0"/>
    <b v="0"/>
    <s v="technology/wearables"/>
    <n v="101.5108695652174"/>
    <n v="109.87058823529412"/>
    <x v="2"/>
    <s v="wearables"/>
    <x v="461"/>
    <d v="1974-01-24T05:18:00"/>
  </r>
  <r>
    <n v="490"/>
    <s v="Young and Sons"/>
    <s v="Innovative disintermediate encryption"/>
    <n v="2400"/>
    <n v="4596"/>
    <x v="1"/>
    <n v="144"/>
    <s v="US"/>
    <s v="USD"/>
    <n v="1573970400"/>
    <n v="1574575200"/>
    <b v="0"/>
    <b v="0"/>
    <s v="journalism/audio"/>
    <n v="191.5"/>
    <n v="31.916666666666668"/>
    <x v="8"/>
    <s v="audio"/>
    <x v="462"/>
    <d v="1974-12-28T10:12:00"/>
  </r>
  <r>
    <n v="491"/>
    <s v="Henson PLC"/>
    <s v="Universal contextually-based knowledgebase"/>
    <n v="56800"/>
    <n v="173437"/>
    <x v="1"/>
    <n v="2443"/>
    <s v="US"/>
    <s v="USD"/>
    <n v="1372654800"/>
    <n v="1374901200"/>
    <b v="0"/>
    <b v="1"/>
    <s v="food/food trucks"/>
    <n v="305.34683098591546"/>
    <n v="70.993450675399103"/>
    <x v="0"/>
    <s v="food trucks"/>
    <x v="463"/>
    <d v="1974-05-11T07:42:00"/>
  </r>
  <r>
    <n v="492"/>
    <s v="Garcia Group"/>
    <s v="Persevering interactive matrix"/>
    <n v="191000"/>
    <n v="45831"/>
    <x v="3"/>
    <n v="595"/>
    <s v="US"/>
    <s v="USD"/>
    <n v="1275886800"/>
    <n v="1278910800"/>
    <b v="1"/>
    <b v="1"/>
    <s v="film &amp; video/shorts"/>
    <n v="23.995287958115181"/>
    <n v="77.026890756302521"/>
    <x v="4"/>
    <s v="shorts"/>
    <x v="464"/>
    <d v="1974-01-20T05:18:00"/>
  </r>
  <r>
    <n v="493"/>
    <s v="Adams, Walker and Wong"/>
    <s v="Seamless background framework"/>
    <n v="900"/>
    <n v="6514"/>
    <x v="1"/>
    <n v="64"/>
    <s v="US"/>
    <s v="USD"/>
    <n v="1561784400"/>
    <n v="1562907600"/>
    <b v="0"/>
    <b v="0"/>
    <s v="photography/photography books"/>
    <n v="723.77777777777771"/>
    <n v="101.78125"/>
    <x v="7"/>
    <s v="photography books"/>
    <x v="465"/>
    <d v="1974-12-14T22:06:00"/>
  </r>
  <r>
    <n v="494"/>
    <s v="Hopkins-Browning"/>
    <s v="Balanced upward-trending productivity"/>
    <n v="2500"/>
    <n v="13684"/>
    <x v="1"/>
    <n v="268"/>
    <s v="US"/>
    <s v="USD"/>
    <n v="1332392400"/>
    <n v="1332478800"/>
    <b v="0"/>
    <b v="0"/>
    <s v="technology/wearables"/>
    <n v="547.36"/>
    <n v="51.059701492537314"/>
    <x v="2"/>
    <s v="wearables"/>
    <x v="466"/>
    <d v="1974-03-23T05:18:00"/>
  </r>
  <r>
    <n v="495"/>
    <s v="Bell, Edwards and Andersen"/>
    <s v="Centralized clear-thinking solution"/>
    <n v="3200"/>
    <n v="13264"/>
    <x v="1"/>
    <n v="195"/>
    <s v="DK"/>
    <s v="DKK"/>
    <n v="1402376400"/>
    <n v="1402722000"/>
    <b v="0"/>
    <b v="0"/>
    <s v="theater/plays"/>
    <n v="414.49999999999994"/>
    <n v="68.02051282051282"/>
    <x v="3"/>
    <s v="plays"/>
    <x v="467"/>
    <d v="1974-06-12T12:30:00"/>
  </r>
  <r>
    <n v="496"/>
    <s v="Morales Group"/>
    <s v="Optimized bi-directional extranet"/>
    <n v="183800"/>
    <n v="1667"/>
    <x v="0"/>
    <n v="54"/>
    <s v="US"/>
    <s v="USD"/>
    <n v="1495342800"/>
    <n v="1496811600"/>
    <b v="0"/>
    <b v="0"/>
    <s v="film &amp; video/animation"/>
    <n v="0.90696409140369971"/>
    <n v="30.87037037037037"/>
    <x v="4"/>
    <s v="animation"/>
    <x v="468"/>
    <d v="1974-09-29T10:06:00"/>
  </r>
  <r>
    <n v="497"/>
    <s v="Lucero Group"/>
    <s v="Intuitive actuating benchmark"/>
    <n v="9800"/>
    <n v="3349"/>
    <x v="0"/>
    <n v="120"/>
    <s v="US"/>
    <s v="USD"/>
    <n v="1482213600"/>
    <n v="1482213600"/>
    <b v="0"/>
    <b v="1"/>
    <s v="technology/wearables"/>
    <n v="34.173469387755098"/>
    <n v="27.908333333333335"/>
    <x v="2"/>
    <s v="wearables"/>
    <x v="469"/>
    <d v="1974-09-12T12:36:00"/>
  </r>
  <r>
    <n v="498"/>
    <s v="Smith, Brown and Davis"/>
    <s v="Devolved background project"/>
    <n v="193400"/>
    <n v="46317"/>
    <x v="0"/>
    <n v="579"/>
    <s v="DK"/>
    <s v="DKK"/>
    <n v="1420092000"/>
    <n v="1420264800"/>
    <b v="0"/>
    <b v="0"/>
    <s v="technology/web"/>
    <n v="23.948810754912099"/>
    <n v="79.994818652849744"/>
    <x v="2"/>
    <s v="web"/>
    <x v="470"/>
    <d v="1974-07-02T19:48:00"/>
  </r>
  <r>
    <n v="499"/>
    <s v="Hunt Group"/>
    <s v="Reverse-engineered executive emulation"/>
    <n v="163800"/>
    <n v="78743"/>
    <x v="0"/>
    <n v="2072"/>
    <s v="US"/>
    <s v="USD"/>
    <n v="1458018000"/>
    <n v="1458450000"/>
    <b v="0"/>
    <b v="1"/>
    <s v="film &amp; video/documentary"/>
    <n v="48.072649572649574"/>
    <n v="38.003378378378379"/>
    <x v="4"/>
    <s v="documentary"/>
    <x v="471"/>
    <d v="1974-08-16T00:30:00"/>
  </r>
  <r>
    <n v="500"/>
    <s v="Valdez Ltd"/>
    <s v="Team-oriented clear-thinking matrix"/>
    <n v="100"/>
    <n v="0"/>
    <x v="0"/>
    <n v="0"/>
    <s v="US"/>
    <s v="USD"/>
    <n v="1367384400"/>
    <n v="1369803600"/>
    <b v="0"/>
    <b v="1"/>
    <s v="theater/plays"/>
    <n v="0"/>
    <n v="0"/>
    <x v="3"/>
    <s v="plays"/>
    <x v="472"/>
    <d v="1974-05-05T10:06:00"/>
  </r>
  <r>
    <n v="501"/>
    <s v="Mccann-Le"/>
    <s v="Focused coherent methodology"/>
    <n v="153600"/>
    <n v="107743"/>
    <x v="0"/>
    <n v="1796"/>
    <s v="US"/>
    <s v="USD"/>
    <n v="1363064400"/>
    <n v="1363237200"/>
    <b v="0"/>
    <b v="0"/>
    <s v="film &amp; video/documentary"/>
    <n v="70.145182291666657"/>
    <n v="59.990534521158132"/>
    <x v="4"/>
    <s v="documentary"/>
    <x v="473"/>
    <d v="1974-04-27T19:42:00"/>
  </r>
  <r>
    <n v="502"/>
    <s v="Johnson Inc"/>
    <s v="Reduced context-sensitive complexity"/>
    <n v="1300"/>
    <n v="6889"/>
    <x v="1"/>
    <n v="186"/>
    <s v="AU"/>
    <s v="AUD"/>
    <n v="1343365200"/>
    <n v="1345870800"/>
    <b v="0"/>
    <b v="1"/>
    <s v="games/video games"/>
    <n v="529.92307692307691"/>
    <n v="37.037634408602152"/>
    <x v="6"/>
    <s v="video games"/>
    <x v="474"/>
    <d v="1974-04-07T17:18:00"/>
  </r>
  <r>
    <n v="503"/>
    <s v="Collins LLC"/>
    <s v="Decentralized 4thgeneration time-frame"/>
    <n v="25500"/>
    <n v="45983"/>
    <x v="1"/>
    <n v="460"/>
    <s v="US"/>
    <s v="USD"/>
    <n v="1435726800"/>
    <n v="1437454800"/>
    <b v="0"/>
    <b v="0"/>
    <s v="film &amp; video/drama"/>
    <n v="180.32549019607845"/>
    <n v="99.963043478260872"/>
    <x v="4"/>
    <s v="drama"/>
    <x v="72"/>
    <d v="1974-07-22T17:18:00"/>
  </r>
  <r>
    <n v="504"/>
    <s v="Smith-Miller"/>
    <s v="De-engineered cohesive moderator"/>
    <n v="7500"/>
    <n v="6924"/>
    <x v="0"/>
    <n v="62"/>
    <s v="IT"/>
    <s v="EUR"/>
    <n v="1431925200"/>
    <n v="1432011600"/>
    <b v="0"/>
    <b v="0"/>
    <s v="music/rock"/>
    <n v="92.320000000000007"/>
    <n v="111.6774193548387"/>
    <x v="1"/>
    <s v="rock"/>
    <x v="443"/>
    <d v="1974-07-16T10:06:00"/>
  </r>
  <r>
    <n v="505"/>
    <s v="Jensen-Vargas"/>
    <s v="Ameliorated explicit parallelism"/>
    <n v="89900"/>
    <n v="12497"/>
    <x v="0"/>
    <n v="347"/>
    <s v="US"/>
    <s v="USD"/>
    <n v="1362722400"/>
    <n v="1366347600"/>
    <b v="0"/>
    <b v="1"/>
    <s v="publishing/radio &amp; podcasts"/>
    <n v="13.901001112347053"/>
    <n v="36.014409221902014"/>
    <x v="5"/>
    <s v="radio &amp; podcasts"/>
    <x v="475"/>
    <d v="1974-05-01T10:06:00"/>
  </r>
  <r>
    <n v="506"/>
    <s v="Robles, Bell and Gonzalez"/>
    <s v="Customizable background monitoring"/>
    <n v="18000"/>
    <n v="166874"/>
    <x v="1"/>
    <n v="2528"/>
    <s v="US"/>
    <s v="USD"/>
    <n v="1511416800"/>
    <n v="1512885600"/>
    <b v="0"/>
    <b v="1"/>
    <s v="theater/plays"/>
    <n v="927.07777777777767"/>
    <n v="66.010284810126578"/>
    <x v="3"/>
    <s v="plays"/>
    <x v="81"/>
    <d v="1974-10-18T00:36:00"/>
  </r>
  <r>
    <n v="507"/>
    <s v="Turner, Miller and Francis"/>
    <s v="Compatible well-modulated budgetary management"/>
    <n v="2100"/>
    <n v="837"/>
    <x v="0"/>
    <n v="19"/>
    <s v="US"/>
    <s v="USD"/>
    <n v="1365483600"/>
    <n v="1369717200"/>
    <b v="0"/>
    <b v="1"/>
    <s v="technology/web"/>
    <n v="39.857142857142861"/>
    <n v="44.05263157894737"/>
    <x v="2"/>
    <s v="web"/>
    <x v="476"/>
    <d v="1974-05-05T07:42:00"/>
  </r>
  <r>
    <n v="508"/>
    <s v="Roberts Group"/>
    <s v="Up-sized radical pricing structure"/>
    <n v="172700"/>
    <n v="193820"/>
    <x v="1"/>
    <n v="3657"/>
    <s v="US"/>
    <s v="USD"/>
    <n v="1532840400"/>
    <n v="1534654800"/>
    <b v="0"/>
    <b v="0"/>
    <s v="theater/plays"/>
    <n v="112.22929936305732"/>
    <n v="52.999726551818434"/>
    <x v="3"/>
    <s v="plays"/>
    <x v="192"/>
    <d v="1974-11-12T05:18:00"/>
  </r>
  <r>
    <n v="509"/>
    <s v="White LLC"/>
    <s v="Robust zero-defect project"/>
    <n v="168500"/>
    <n v="119510"/>
    <x v="0"/>
    <n v="1258"/>
    <s v="US"/>
    <s v="USD"/>
    <n v="1336194000"/>
    <n v="1337058000"/>
    <b v="0"/>
    <b v="0"/>
    <s v="theater/plays"/>
    <n v="70.925816023738875"/>
    <n v="95"/>
    <x v="3"/>
    <s v="plays"/>
    <x v="477"/>
    <d v="1974-03-28T12:30:00"/>
  </r>
  <r>
    <n v="510"/>
    <s v="Best, Miller and Thomas"/>
    <s v="Re-engineered mobile task-force"/>
    <n v="7800"/>
    <n v="9289"/>
    <x v="1"/>
    <n v="131"/>
    <s v="AU"/>
    <s v="AUD"/>
    <n v="1527742800"/>
    <n v="1529816400"/>
    <b v="0"/>
    <b v="0"/>
    <s v="film &amp; video/drama"/>
    <n v="119.08974358974358"/>
    <n v="70.908396946564892"/>
    <x v="4"/>
    <s v="drama"/>
    <x v="478"/>
    <d v="1974-11-06T14:54:00"/>
  </r>
  <r>
    <n v="511"/>
    <s v="Smith-Mullins"/>
    <s v="User-centric intangible neural-net"/>
    <n v="147800"/>
    <n v="35498"/>
    <x v="0"/>
    <n v="362"/>
    <s v="US"/>
    <s v="USD"/>
    <n v="1564030800"/>
    <n v="1564894800"/>
    <b v="0"/>
    <b v="0"/>
    <s v="theater/plays"/>
    <n v="24.017591339648174"/>
    <n v="98.060773480662988"/>
    <x v="3"/>
    <s v="plays"/>
    <x v="479"/>
    <d v="1974-12-17T05:18:00"/>
  </r>
  <r>
    <n v="512"/>
    <s v="Williams-Walsh"/>
    <s v="Organized explicit core"/>
    <n v="9100"/>
    <n v="12678"/>
    <x v="1"/>
    <n v="239"/>
    <s v="US"/>
    <s v="USD"/>
    <n v="1404536400"/>
    <n v="1404622800"/>
    <b v="0"/>
    <b v="1"/>
    <s v="games/video games"/>
    <n v="139.31868131868131"/>
    <n v="53.046025104602514"/>
    <x v="6"/>
    <s v="video games"/>
    <x v="480"/>
    <d v="1974-06-14T17:18:00"/>
  </r>
  <r>
    <n v="513"/>
    <s v="Harrison, Blackwell and Mendez"/>
    <s v="Synchronized 6thgeneration adapter"/>
    <n v="8300"/>
    <n v="3260"/>
    <x v="3"/>
    <n v="35"/>
    <s v="US"/>
    <s v="USD"/>
    <n v="1284008400"/>
    <n v="1284181200"/>
    <b v="0"/>
    <b v="0"/>
    <s v="film &amp; video/television"/>
    <n v="39.277108433734945"/>
    <n v="93.142857142857139"/>
    <x v="4"/>
    <s v="television"/>
    <x v="180"/>
    <d v="1974-01-26T07:42:00"/>
  </r>
  <r>
    <n v="514"/>
    <s v="Sanchez, Bradley and Flores"/>
    <s v="Centralized motivating capacity"/>
    <n v="138700"/>
    <n v="31123"/>
    <x v="3"/>
    <n v="528"/>
    <s v="CH"/>
    <s v="CHF"/>
    <n v="1386309600"/>
    <n v="1386741600"/>
    <b v="0"/>
    <b v="1"/>
    <s v="music/rock"/>
    <n v="22.439077144917089"/>
    <n v="58.945075757575758"/>
    <x v="1"/>
    <s v="rock"/>
    <x v="481"/>
    <d v="1974-05-25T00:36:00"/>
  </r>
  <r>
    <n v="515"/>
    <s v="Cox LLC"/>
    <s v="Phased 24hour flexibility"/>
    <n v="8600"/>
    <n v="4797"/>
    <x v="0"/>
    <n v="133"/>
    <s v="CA"/>
    <s v="CAD"/>
    <n v="1324620000"/>
    <n v="1324792800"/>
    <b v="0"/>
    <b v="1"/>
    <s v="theater/plays"/>
    <n v="55.779069767441861"/>
    <n v="36.067669172932334"/>
    <x v="3"/>
    <s v="plays"/>
    <x v="482"/>
    <d v="1974-03-14T07:48:00"/>
  </r>
  <r>
    <n v="516"/>
    <s v="Morales-Odonnell"/>
    <s v="Exclusive 5thgeneration structure"/>
    <n v="125400"/>
    <n v="53324"/>
    <x v="0"/>
    <n v="846"/>
    <s v="US"/>
    <s v="USD"/>
    <n v="1281070800"/>
    <n v="1284354000"/>
    <b v="0"/>
    <b v="0"/>
    <s v="publishing/nonfiction"/>
    <n v="42.523125996810208"/>
    <n v="63.030732860520096"/>
    <x v="5"/>
    <s v="nonfiction"/>
    <x v="194"/>
    <d v="1974-01-26T12:30:00"/>
  </r>
  <r>
    <n v="517"/>
    <s v="Ramirez LLC"/>
    <s v="Multi-tiered maximized orchestration"/>
    <n v="5900"/>
    <n v="6608"/>
    <x v="1"/>
    <n v="78"/>
    <s v="US"/>
    <s v="USD"/>
    <n v="1493960400"/>
    <n v="1494392400"/>
    <b v="0"/>
    <b v="0"/>
    <s v="food/food trucks"/>
    <n v="112.00000000000001"/>
    <n v="84.717948717948715"/>
    <x v="0"/>
    <s v="food trucks"/>
    <x v="483"/>
    <d v="1974-09-26T14:54:00"/>
  </r>
  <r>
    <n v="518"/>
    <s v="Ramirez Group"/>
    <s v="Open-architected uniform instruction set"/>
    <n v="8800"/>
    <n v="622"/>
    <x v="0"/>
    <n v="10"/>
    <s v="US"/>
    <s v="USD"/>
    <n v="1519365600"/>
    <n v="1519538400"/>
    <b v="0"/>
    <b v="1"/>
    <s v="film &amp; video/animation"/>
    <n v="7.0681818181818183"/>
    <n v="62.2"/>
    <x v="4"/>
    <s v="animation"/>
    <x v="484"/>
    <d v="1974-10-25T17:24:00"/>
  </r>
  <r>
    <n v="519"/>
    <s v="Marsh-Coleman"/>
    <s v="Exclusive asymmetric analyzer"/>
    <n v="177700"/>
    <n v="180802"/>
    <x v="1"/>
    <n v="1773"/>
    <s v="US"/>
    <s v="USD"/>
    <n v="1420696800"/>
    <n v="1421906400"/>
    <b v="0"/>
    <b v="1"/>
    <s v="music/rock"/>
    <n v="101.74563871693867"/>
    <n v="101.97518330513255"/>
    <x v="1"/>
    <s v="rock"/>
    <x v="355"/>
    <d v="1974-07-04T17:24:00"/>
  </r>
  <r>
    <n v="520"/>
    <s v="Frederick, Jenkins and Collins"/>
    <s v="Organic radical collaboration"/>
    <n v="800"/>
    <n v="3406"/>
    <x v="1"/>
    <n v="32"/>
    <s v="US"/>
    <s v="USD"/>
    <n v="1555650000"/>
    <n v="1555909200"/>
    <b v="0"/>
    <b v="0"/>
    <s v="theater/plays"/>
    <n v="425.75"/>
    <n v="106.4375"/>
    <x v="3"/>
    <s v="plays"/>
    <x v="485"/>
    <d v="1974-12-06T19:42:00"/>
  </r>
  <r>
    <n v="521"/>
    <s v="Wilson Ltd"/>
    <s v="Function-based multi-state software"/>
    <n v="7600"/>
    <n v="11061"/>
    <x v="1"/>
    <n v="369"/>
    <s v="US"/>
    <s v="USD"/>
    <n v="1471928400"/>
    <n v="1472446800"/>
    <b v="0"/>
    <b v="1"/>
    <s v="film &amp; video/drama"/>
    <n v="145.53947368421052"/>
    <n v="29.975609756097562"/>
    <x v="4"/>
    <s v="drama"/>
    <x v="486"/>
    <d v="1974-09-01T05:18:00"/>
  </r>
  <r>
    <n v="522"/>
    <s v="Cline, Peterson and Lowery"/>
    <s v="Innovative static budgetary management"/>
    <n v="50500"/>
    <n v="16389"/>
    <x v="0"/>
    <n v="191"/>
    <s v="US"/>
    <s v="USD"/>
    <n v="1341291600"/>
    <n v="1342328400"/>
    <b v="0"/>
    <b v="0"/>
    <s v="film &amp; video/shorts"/>
    <n v="32.453465346534657"/>
    <n v="85.806282722513089"/>
    <x v="4"/>
    <s v="shorts"/>
    <x v="487"/>
    <d v="1974-04-03T14:54:00"/>
  </r>
  <r>
    <n v="523"/>
    <s v="Underwood, James and Jones"/>
    <s v="Triple-buffered holistic ability"/>
    <n v="900"/>
    <n v="6303"/>
    <x v="1"/>
    <n v="89"/>
    <s v="US"/>
    <s v="USD"/>
    <n v="1267682400"/>
    <n v="1268114400"/>
    <b v="0"/>
    <b v="0"/>
    <s v="film &amp; video/shorts"/>
    <n v="700.33333333333326"/>
    <n v="70.82022471910112"/>
    <x v="4"/>
    <s v="shorts"/>
    <x v="488"/>
    <d v="1974-01-07T17:24:00"/>
  </r>
  <r>
    <n v="524"/>
    <s v="Johnson-Contreras"/>
    <s v="Diverse scalable superstructure"/>
    <n v="96700"/>
    <n v="81136"/>
    <x v="0"/>
    <n v="1979"/>
    <s v="US"/>
    <s v="USD"/>
    <n v="1272258000"/>
    <n v="1273381200"/>
    <b v="0"/>
    <b v="0"/>
    <s v="theater/plays"/>
    <n v="83.904860392967933"/>
    <n v="40.998484082870135"/>
    <x v="3"/>
    <s v="plays"/>
    <x v="489"/>
    <d v="1974-01-13T19:42:00"/>
  </r>
  <r>
    <n v="525"/>
    <s v="Greene, Lloyd and Sims"/>
    <s v="Balanced leadingedge data-warehouse"/>
    <n v="2100"/>
    <n v="1768"/>
    <x v="0"/>
    <n v="63"/>
    <s v="US"/>
    <s v="USD"/>
    <n v="1290492000"/>
    <n v="1290837600"/>
    <b v="0"/>
    <b v="0"/>
    <s v="technology/wearables"/>
    <n v="84.19047619047619"/>
    <n v="28.063492063492063"/>
    <x v="2"/>
    <s v="wearables"/>
    <x v="490"/>
    <d v="1974-02-03T00:36:00"/>
  </r>
  <r>
    <n v="526"/>
    <s v="Smith-Sparks"/>
    <s v="Digitized bandwidth-monitored open architecture"/>
    <n v="8300"/>
    <n v="12944"/>
    <x v="1"/>
    <n v="147"/>
    <s v="US"/>
    <s v="USD"/>
    <n v="1451109600"/>
    <n v="1454306400"/>
    <b v="0"/>
    <b v="1"/>
    <s v="theater/plays"/>
    <n v="155.95180722891567"/>
    <n v="88.054421768707485"/>
    <x v="3"/>
    <s v="plays"/>
    <x v="312"/>
    <d v="1974-08-11T05:24:00"/>
  </r>
  <r>
    <n v="527"/>
    <s v="Rosario-Smith"/>
    <s v="Enterprise-wide intermediate portal"/>
    <n v="189200"/>
    <n v="188480"/>
    <x v="0"/>
    <n v="6080"/>
    <s v="CA"/>
    <s v="CAD"/>
    <n v="1454652000"/>
    <n v="1457762400"/>
    <b v="0"/>
    <b v="0"/>
    <s v="film &amp; video/animation"/>
    <n v="99.619450317124731"/>
    <n v="31"/>
    <x v="4"/>
    <s v="animation"/>
    <x v="491"/>
    <d v="1974-08-15T05:24:00"/>
  </r>
  <r>
    <n v="528"/>
    <s v="Avila, Ford and Welch"/>
    <s v="Focused leadingedge matrix"/>
    <n v="9000"/>
    <n v="7227"/>
    <x v="0"/>
    <n v="80"/>
    <s v="GB"/>
    <s v="GBP"/>
    <n v="1385186400"/>
    <n v="1389074400"/>
    <b v="0"/>
    <b v="0"/>
    <s v="music/indie rock"/>
    <n v="80.300000000000011"/>
    <n v="90.337500000000006"/>
    <x v="1"/>
    <s v="indie rock"/>
    <x v="492"/>
    <d v="1974-05-27T17:24:00"/>
  </r>
  <r>
    <n v="529"/>
    <s v="Gallegos Inc"/>
    <s v="Seamless logistical encryption"/>
    <n v="5100"/>
    <n v="574"/>
    <x v="0"/>
    <n v="9"/>
    <s v="US"/>
    <s v="USD"/>
    <n v="1399698000"/>
    <n v="1402117200"/>
    <b v="0"/>
    <b v="0"/>
    <s v="games/video games"/>
    <n v="11.254901960784313"/>
    <n v="63.777777777777779"/>
    <x v="6"/>
    <s v="video games"/>
    <x v="493"/>
    <d v="1974-06-11T19:42:00"/>
  </r>
  <r>
    <n v="530"/>
    <s v="Morrow, Santiago and Soto"/>
    <s v="Stand-alone human-resource workforce"/>
    <n v="105000"/>
    <n v="96328"/>
    <x v="0"/>
    <n v="1784"/>
    <s v="US"/>
    <s v="USD"/>
    <n v="1283230800"/>
    <n v="1284440400"/>
    <b v="0"/>
    <b v="1"/>
    <s v="publishing/fiction"/>
    <n v="91.740952380952379"/>
    <n v="53.995515695067262"/>
    <x v="5"/>
    <s v="fiction"/>
    <x v="494"/>
    <d v="1974-01-26T14:54:00"/>
  </r>
  <r>
    <n v="531"/>
    <s v="Berry-Richardson"/>
    <s v="Automated zero tolerance implementation"/>
    <n v="186700"/>
    <n v="178338"/>
    <x v="2"/>
    <n v="3640"/>
    <s v="CH"/>
    <s v="CHF"/>
    <n v="1384149600"/>
    <n v="1388988000"/>
    <b v="0"/>
    <b v="0"/>
    <s v="games/video games"/>
    <n v="95.521156936261391"/>
    <n v="48.993956043956047"/>
    <x v="6"/>
    <s v="video games"/>
    <x v="495"/>
    <d v="1974-05-27T15:00:00"/>
  </r>
  <r>
    <n v="532"/>
    <s v="Cordova-Torres"/>
    <s v="Pre-emptive grid-enabled contingency"/>
    <n v="1600"/>
    <n v="8046"/>
    <x v="1"/>
    <n v="126"/>
    <s v="CA"/>
    <s v="CAD"/>
    <n v="1516860000"/>
    <n v="1516946400"/>
    <b v="0"/>
    <b v="0"/>
    <s v="theater/plays"/>
    <n v="502.87499999999994"/>
    <n v="63.857142857142854"/>
    <x v="3"/>
    <s v="plays"/>
    <x v="496"/>
    <d v="1974-10-22T17:24:00"/>
  </r>
  <r>
    <n v="533"/>
    <s v="Holt, Bernard and Johnson"/>
    <s v="Multi-lateral didactic encoding"/>
    <n v="115600"/>
    <n v="184086"/>
    <x v="1"/>
    <n v="2218"/>
    <s v="GB"/>
    <s v="GBP"/>
    <n v="1374642000"/>
    <n v="1377752400"/>
    <b v="0"/>
    <b v="0"/>
    <s v="music/indie rock"/>
    <n v="159.24394463667818"/>
    <n v="82.996393146979258"/>
    <x v="1"/>
    <s v="indie rock"/>
    <x v="497"/>
    <d v="1974-05-14T14:54:00"/>
  </r>
  <r>
    <n v="534"/>
    <s v="Clark, Mccormick and Mendoza"/>
    <s v="Self-enabling didactic orchestration"/>
    <n v="89100"/>
    <n v="13385"/>
    <x v="0"/>
    <n v="243"/>
    <s v="US"/>
    <s v="USD"/>
    <n v="1534482000"/>
    <n v="1534568400"/>
    <b v="0"/>
    <b v="1"/>
    <s v="film &amp; video/drama"/>
    <n v="15.022446689113355"/>
    <n v="55.08230452674897"/>
    <x v="4"/>
    <s v="drama"/>
    <x v="498"/>
    <d v="1974-11-12T02:54:00"/>
  </r>
  <r>
    <n v="535"/>
    <s v="Garrison LLC"/>
    <s v="Profit-focused 24/7 data-warehouse"/>
    <n v="2600"/>
    <n v="12533"/>
    <x v="1"/>
    <n v="202"/>
    <s v="IT"/>
    <s v="EUR"/>
    <n v="1528434000"/>
    <n v="1528606800"/>
    <b v="0"/>
    <b v="1"/>
    <s v="theater/plays"/>
    <n v="482.03846153846149"/>
    <n v="62.044554455445542"/>
    <x v="3"/>
    <s v="plays"/>
    <x v="499"/>
    <d v="1974-11-05T05:18:00"/>
  </r>
  <r>
    <n v="536"/>
    <s v="Shannon-Olson"/>
    <s v="Enhanced methodical middleware"/>
    <n v="9800"/>
    <n v="14697"/>
    <x v="1"/>
    <n v="140"/>
    <s v="IT"/>
    <s v="EUR"/>
    <n v="1282626000"/>
    <n v="1284872400"/>
    <b v="0"/>
    <b v="0"/>
    <s v="publishing/fiction"/>
    <n v="149.96938775510205"/>
    <n v="104.97857142857143"/>
    <x v="5"/>
    <s v="fiction"/>
    <x v="500"/>
    <d v="1974-01-27T02:54:00"/>
  </r>
  <r>
    <n v="537"/>
    <s v="Murillo-Mcfarland"/>
    <s v="Synchronized client-driven projection"/>
    <n v="84400"/>
    <n v="98935"/>
    <x v="1"/>
    <n v="1052"/>
    <s v="DK"/>
    <s v="DKK"/>
    <n v="1535605200"/>
    <n v="1537592400"/>
    <b v="1"/>
    <b v="1"/>
    <s v="film &amp; video/documentary"/>
    <n v="117.22156398104266"/>
    <n v="94.044676806083643"/>
    <x v="4"/>
    <s v="documentary"/>
    <x v="501"/>
    <d v="1974-11-15T14:54:00"/>
  </r>
  <r>
    <n v="538"/>
    <s v="Young, Gilbert and Escobar"/>
    <s v="Networked didactic time-frame"/>
    <n v="151300"/>
    <n v="57034"/>
    <x v="0"/>
    <n v="1296"/>
    <s v="US"/>
    <s v="USD"/>
    <n v="1379826000"/>
    <n v="1381208400"/>
    <b v="0"/>
    <b v="0"/>
    <s v="games/mobile games"/>
    <n v="37.695968274950431"/>
    <n v="44.007716049382715"/>
    <x v="6"/>
    <s v="mobile games"/>
    <x v="502"/>
    <d v="1974-05-18T14:54:00"/>
  </r>
  <r>
    <n v="539"/>
    <s v="Thomas, Welch and Santana"/>
    <s v="Assimilated exuding toolset"/>
    <n v="9800"/>
    <n v="7120"/>
    <x v="0"/>
    <n v="77"/>
    <s v="US"/>
    <s v="USD"/>
    <n v="1561957200"/>
    <n v="1562475600"/>
    <b v="0"/>
    <b v="1"/>
    <s v="food/food trucks"/>
    <n v="72.653061224489804"/>
    <n v="92.467532467532465"/>
    <x v="0"/>
    <s v="food trucks"/>
    <x v="503"/>
    <d v="1974-12-14T10:06:00"/>
  </r>
  <r>
    <n v="540"/>
    <s v="Brown-Pena"/>
    <s v="Front-line client-server secured line"/>
    <n v="5300"/>
    <n v="14097"/>
    <x v="1"/>
    <n v="247"/>
    <s v="US"/>
    <s v="USD"/>
    <n v="1525496400"/>
    <n v="1527397200"/>
    <b v="0"/>
    <b v="0"/>
    <s v="photography/photography books"/>
    <n v="265.98113207547169"/>
    <n v="57.072874493927124"/>
    <x v="7"/>
    <s v="photography books"/>
    <x v="504"/>
    <d v="1974-11-03T19:42:00"/>
  </r>
  <r>
    <n v="541"/>
    <s v="Holder, Caldwell and Vance"/>
    <s v="Polarized systemic Internet solution"/>
    <n v="178000"/>
    <n v="43086"/>
    <x v="0"/>
    <n v="395"/>
    <s v="IT"/>
    <s v="EUR"/>
    <n v="1433912400"/>
    <n v="1436158800"/>
    <b v="0"/>
    <b v="0"/>
    <s v="games/mobile games"/>
    <n v="24.205617977528089"/>
    <n v="109.07848101265823"/>
    <x v="6"/>
    <s v="mobile games"/>
    <x v="505"/>
    <d v="1974-07-21T05:18:00"/>
  </r>
  <r>
    <n v="542"/>
    <s v="Harrison-Bridges"/>
    <s v="Profit-focused exuding moderator"/>
    <n v="77000"/>
    <n v="1930"/>
    <x v="0"/>
    <n v="49"/>
    <s v="GB"/>
    <s v="GBP"/>
    <n v="1453442400"/>
    <n v="1456034400"/>
    <b v="0"/>
    <b v="0"/>
    <s v="music/indie rock"/>
    <n v="2.5064935064935066"/>
    <n v="39.387755102040813"/>
    <x v="1"/>
    <s v="indie rock"/>
    <x v="506"/>
    <d v="1974-08-13T05:24:00"/>
  </r>
  <r>
    <n v="543"/>
    <s v="Johnson, Murphy and Peterson"/>
    <s v="Cross-group high-level moderator"/>
    <n v="84900"/>
    <n v="13864"/>
    <x v="0"/>
    <n v="180"/>
    <s v="US"/>
    <s v="USD"/>
    <n v="1378875600"/>
    <n v="1380171600"/>
    <b v="0"/>
    <b v="0"/>
    <s v="games/video games"/>
    <n v="16.329799764428738"/>
    <n v="77.022222222222226"/>
    <x v="6"/>
    <s v="video games"/>
    <x v="507"/>
    <d v="1974-05-17T10:06:00"/>
  </r>
  <r>
    <n v="544"/>
    <s v="Taylor Inc"/>
    <s v="Public-key 3rdgeneration system engine"/>
    <n v="2800"/>
    <n v="7742"/>
    <x v="1"/>
    <n v="84"/>
    <s v="US"/>
    <s v="USD"/>
    <n v="1452232800"/>
    <n v="1453356000"/>
    <b v="0"/>
    <b v="0"/>
    <s v="music/rock"/>
    <n v="276.5"/>
    <n v="92.166666666666671"/>
    <x v="1"/>
    <s v="rock"/>
    <x v="508"/>
    <d v="1974-08-10T03:00:00"/>
  </r>
  <r>
    <n v="545"/>
    <s v="Deleon and Sons"/>
    <s v="Organized value-added access"/>
    <n v="184800"/>
    <n v="164109"/>
    <x v="0"/>
    <n v="2690"/>
    <s v="US"/>
    <s v="USD"/>
    <n v="1577253600"/>
    <n v="1578981600"/>
    <b v="0"/>
    <b v="0"/>
    <s v="theater/plays"/>
    <n v="88.803571428571431"/>
    <n v="61.007063197026021"/>
    <x v="3"/>
    <s v="plays"/>
    <x v="509"/>
    <d v="1975-01-02T12:36:00"/>
  </r>
  <r>
    <n v="546"/>
    <s v="Benjamin, Paul and Ferguson"/>
    <s v="Cloned global Graphical User Interface"/>
    <n v="4200"/>
    <n v="6870"/>
    <x v="1"/>
    <n v="88"/>
    <s v="US"/>
    <s v="USD"/>
    <n v="1537160400"/>
    <n v="1537419600"/>
    <b v="0"/>
    <b v="1"/>
    <s v="theater/plays"/>
    <n v="163.57142857142856"/>
    <n v="78.068181818181813"/>
    <x v="3"/>
    <s v="plays"/>
    <x v="510"/>
    <d v="1974-11-15T10:06:00"/>
  </r>
  <r>
    <n v="547"/>
    <s v="Hardin-Dixon"/>
    <s v="Focused solution-oriented matrix"/>
    <n v="1300"/>
    <n v="12597"/>
    <x v="1"/>
    <n v="156"/>
    <s v="US"/>
    <s v="USD"/>
    <n v="1422165600"/>
    <n v="1423202400"/>
    <b v="0"/>
    <b v="0"/>
    <s v="film &amp; video/drama"/>
    <n v="969"/>
    <n v="80.75"/>
    <x v="4"/>
    <s v="drama"/>
    <x v="511"/>
    <d v="1974-07-06T05:24:00"/>
  </r>
  <r>
    <n v="548"/>
    <s v="York-Pitts"/>
    <s v="Monitored discrete toolset"/>
    <n v="66100"/>
    <n v="179074"/>
    <x v="1"/>
    <n v="2985"/>
    <s v="US"/>
    <s v="USD"/>
    <n v="1459486800"/>
    <n v="1460610000"/>
    <b v="0"/>
    <b v="0"/>
    <s v="theater/plays"/>
    <n v="270.91376701966715"/>
    <n v="59.991289782244557"/>
    <x v="3"/>
    <s v="plays"/>
    <x v="512"/>
    <d v="1974-08-18T12:30:00"/>
  </r>
  <r>
    <n v="549"/>
    <s v="Jarvis and Sons"/>
    <s v="Business-focused intermediate system engine"/>
    <n v="29500"/>
    <n v="83843"/>
    <x v="1"/>
    <n v="762"/>
    <s v="US"/>
    <s v="USD"/>
    <n v="1369717200"/>
    <n v="1370494800"/>
    <b v="0"/>
    <b v="0"/>
    <s v="technology/wearables"/>
    <n v="284.21355932203392"/>
    <n v="110.03018372703411"/>
    <x v="2"/>
    <s v="wearables"/>
    <x v="513"/>
    <d v="1974-05-06T05:18:00"/>
  </r>
  <r>
    <n v="550"/>
    <s v="Morrison-Henderson"/>
    <s v="De-engineered disintermediate encoding"/>
    <n v="100"/>
    <n v="4"/>
    <x v="3"/>
    <n v="1"/>
    <s v="CH"/>
    <s v="CHF"/>
    <n v="1330495200"/>
    <n v="1332306000"/>
    <b v="0"/>
    <b v="0"/>
    <s v="music/indie rock"/>
    <n v="4"/>
    <n v="4"/>
    <x v="1"/>
    <s v="indie rock"/>
    <x v="514"/>
    <d v="1974-03-23T00:30:00"/>
  </r>
  <r>
    <n v="551"/>
    <s v="Martin-James"/>
    <s v="Streamlined upward-trending analyzer"/>
    <n v="180100"/>
    <n v="105598"/>
    <x v="0"/>
    <n v="2779"/>
    <s v="AU"/>
    <s v="AUD"/>
    <n v="1419055200"/>
    <n v="1422511200"/>
    <b v="0"/>
    <b v="1"/>
    <s v="technology/web"/>
    <n v="58.6329816768462"/>
    <n v="37.99856063332134"/>
    <x v="2"/>
    <s v="web"/>
    <x v="515"/>
    <d v="1974-07-05T10:12:00"/>
  </r>
  <r>
    <n v="552"/>
    <s v="Mercer, Solomon and Singleton"/>
    <s v="Distributed human-resource policy"/>
    <n v="9000"/>
    <n v="8866"/>
    <x v="0"/>
    <n v="92"/>
    <s v="US"/>
    <s v="USD"/>
    <n v="1480140000"/>
    <n v="1480312800"/>
    <b v="0"/>
    <b v="0"/>
    <s v="theater/plays"/>
    <n v="98.51111111111112"/>
    <n v="96.369565217391298"/>
    <x v="3"/>
    <s v="plays"/>
    <x v="516"/>
    <d v="1974-09-10T07:48:00"/>
  </r>
  <r>
    <n v="553"/>
    <s v="Dougherty, Austin and Mills"/>
    <s v="De-engineered 5thgeneration contingency"/>
    <n v="170600"/>
    <n v="75022"/>
    <x v="0"/>
    <n v="1028"/>
    <s v="US"/>
    <s v="USD"/>
    <n v="1293948000"/>
    <n v="1294034400"/>
    <b v="0"/>
    <b v="0"/>
    <s v="music/rock"/>
    <n v="43.975381008206334"/>
    <n v="72.978599221789878"/>
    <x v="1"/>
    <s v="rock"/>
    <x v="517"/>
    <d v="1974-02-06T17:24:00"/>
  </r>
  <r>
    <n v="554"/>
    <s v="Ritter PLC"/>
    <s v="Multi-channeled upward-trending application"/>
    <n v="9500"/>
    <n v="14408"/>
    <x v="1"/>
    <n v="554"/>
    <s v="CA"/>
    <s v="CAD"/>
    <n v="1482127200"/>
    <n v="1482645600"/>
    <b v="0"/>
    <b v="0"/>
    <s v="music/indie rock"/>
    <n v="151.66315789473683"/>
    <n v="26.007220216606498"/>
    <x v="1"/>
    <s v="indie rock"/>
    <x v="518"/>
    <d v="1974-09-13T00:36:00"/>
  </r>
  <r>
    <n v="555"/>
    <s v="Anderson Group"/>
    <s v="Organic maximized database"/>
    <n v="6300"/>
    <n v="14089"/>
    <x v="1"/>
    <n v="135"/>
    <s v="DK"/>
    <s v="DKK"/>
    <n v="1396414800"/>
    <n v="1399093200"/>
    <b v="0"/>
    <b v="0"/>
    <s v="music/rock"/>
    <n v="223.63492063492063"/>
    <n v="104.36296296296297"/>
    <x v="1"/>
    <s v="rock"/>
    <x v="519"/>
    <d v="1974-06-08T07:42:00"/>
  </r>
  <r>
    <n v="556"/>
    <s v="Smith and Sons"/>
    <s v="Grass-roots 24/7 attitude"/>
    <n v="5200"/>
    <n v="12467"/>
    <x v="1"/>
    <n v="122"/>
    <s v="US"/>
    <s v="USD"/>
    <n v="1315285200"/>
    <n v="1315890000"/>
    <b v="0"/>
    <b v="1"/>
    <s v="publishing/translations"/>
    <n v="239.75"/>
    <n v="102.18852459016394"/>
    <x v="5"/>
    <s v="translations"/>
    <x v="520"/>
    <d v="1974-03-04T00:30:00"/>
  </r>
  <r>
    <n v="557"/>
    <s v="Lam-Hamilton"/>
    <s v="Team-oriented global strategy"/>
    <n v="6000"/>
    <n v="11960"/>
    <x v="1"/>
    <n v="221"/>
    <s v="US"/>
    <s v="USD"/>
    <n v="1443762000"/>
    <n v="1444021200"/>
    <b v="0"/>
    <b v="1"/>
    <s v="film &amp; video/science fiction"/>
    <n v="199.33333333333334"/>
    <n v="54.117647058823529"/>
    <x v="4"/>
    <s v="science fiction"/>
    <x v="521"/>
    <d v="1974-07-30T07:42:00"/>
  </r>
  <r>
    <n v="558"/>
    <s v="Ho Ltd"/>
    <s v="Enhanced client-driven capacity"/>
    <n v="5800"/>
    <n v="7966"/>
    <x v="1"/>
    <n v="126"/>
    <s v="US"/>
    <s v="USD"/>
    <n v="1456293600"/>
    <n v="1460005200"/>
    <b v="0"/>
    <b v="0"/>
    <s v="theater/plays"/>
    <n v="137.34482758620689"/>
    <n v="63.222222222222221"/>
    <x v="3"/>
    <s v="plays"/>
    <x v="522"/>
    <d v="1974-08-17T19:42:00"/>
  </r>
  <r>
    <n v="559"/>
    <s v="Brown, Estrada and Jensen"/>
    <s v="Exclusive systematic productivity"/>
    <n v="105300"/>
    <n v="106321"/>
    <x v="1"/>
    <n v="1022"/>
    <s v="US"/>
    <s v="USD"/>
    <n v="1470114000"/>
    <n v="1470718800"/>
    <b v="0"/>
    <b v="0"/>
    <s v="theater/plays"/>
    <n v="100.9696106362773"/>
    <n v="104.03228962818004"/>
    <x v="3"/>
    <s v="plays"/>
    <x v="523"/>
    <d v="1974-08-30T05:18:00"/>
  </r>
  <r>
    <n v="560"/>
    <s v="Hunt LLC"/>
    <s v="Re-engineered radical policy"/>
    <n v="20000"/>
    <n v="158832"/>
    <x v="1"/>
    <n v="3177"/>
    <s v="US"/>
    <s v="USD"/>
    <n v="1321596000"/>
    <n v="1325052000"/>
    <b v="0"/>
    <b v="0"/>
    <s v="film &amp; video/animation"/>
    <n v="794.16"/>
    <n v="49.994334277620396"/>
    <x v="4"/>
    <s v="animation"/>
    <x v="524"/>
    <d v="1974-03-14T15:00:00"/>
  </r>
  <r>
    <n v="561"/>
    <s v="Fowler-Smith"/>
    <s v="Down-sized logistical adapter"/>
    <n v="3000"/>
    <n v="11091"/>
    <x v="1"/>
    <n v="198"/>
    <s v="CH"/>
    <s v="CHF"/>
    <n v="1318827600"/>
    <n v="1319000400"/>
    <b v="0"/>
    <b v="0"/>
    <s v="theater/plays"/>
    <n v="369.7"/>
    <n v="56.015151515151516"/>
    <x v="3"/>
    <s v="plays"/>
    <x v="525"/>
    <d v="1974-03-07T14:54:00"/>
  </r>
  <r>
    <n v="562"/>
    <s v="Blair Inc"/>
    <s v="Configurable bandwidth-monitored throughput"/>
    <n v="9900"/>
    <n v="1269"/>
    <x v="0"/>
    <n v="26"/>
    <s v="CH"/>
    <s v="CHF"/>
    <n v="1552366800"/>
    <n v="1552539600"/>
    <b v="0"/>
    <b v="0"/>
    <s v="music/rock"/>
    <n v="12.818181818181817"/>
    <n v="48.807692307692307"/>
    <x v="1"/>
    <s v="rock"/>
    <x v="188"/>
    <d v="1974-12-02T22:06:00"/>
  </r>
  <r>
    <n v="563"/>
    <s v="Kelley, Stanton and Sanchez"/>
    <s v="Optional tangible pricing structure"/>
    <n v="3700"/>
    <n v="5107"/>
    <x v="1"/>
    <n v="85"/>
    <s v="AU"/>
    <s v="AUD"/>
    <n v="1542088800"/>
    <n v="1543816800"/>
    <b v="0"/>
    <b v="0"/>
    <s v="film &amp; video/documentary"/>
    <n v="138.02702702702703"/>
    <n v="60.082352941176474"/>
    <x v="4"/>
    <s v="documentary"/>
    <x v="526"/>
    <d v="1974-11-22T19:48:00"/>
  </r>
  <r>
    <n v="564"/>
    <s v="Hernandez-Macdonald"/>
    <s v="Organic high-level implementation"/>
    <n v="168700"/>
    <n v="141393"/>
    <x v="0"/>
    <n v="1790"/>
    <s v="US"/>
    <s v="USD"/>
    <n v="1426395600"/>
    <n v="1427086800"/>
    <b v="0"/>
    <b v="0"/>
    <s v="theater/plays"/>
    <n v="83.813278008298752"/>
    <n v="78.990502793296088"/>
    <x v="3"/>
    <s v="plays"/>
    <x v="527"/>
    <d v="1974-07-10T17:18:00"/>
  </r>
  <r>
    <n v="565"/>
    <s v="Joseph LLC"/>
    <s v="Decentralized logistical collaboration"/>
    <n v="94900"/>
    <n v="194166"/>
    <x v="1"/>
    <n v="3596"/>
    <s v="US"/>
    <s v="USD"/>
    <n v="1321336800"/>
    <n v="1323064800"/>
    <b v="0"/>
    <b v="0"/>
    <s v="theater/plays"/>
    <n v="204.60063224446787"/>
    <n v="53.99499443826474"/>
    <x v="3"/>
    <s v="plays"/>
    <x v="528"/>
    <d v="1974-03-12T07:48:00"/>
  </r>
  <r>
    <n v="566"/>
    <s v="Webb-Smith"/>
    <s v="Advanced content-based installation"/>
    <n v="9300"/>
    <n v="4124"/>
    <x v="0"/>
    <n v="37"/>
    <s v="US"/>
    <s v="USD"/>
    <n v="1456293600"/>
    <n v="1458277200"/>
    <b v="0"/>
    <b v="1"/>
    <s v="music/electric music"/>
    <n v="44.344086021505376"/>
    <n v="111.45945945945945"/>
    <x v="1"/>
    <s v="electric music"/>
    <x v="522"/>
    <d v="1974-08-15T19:42:00"/>
  </r>
  <r>
    <n v="567"/>
    <s v="Johns PLC"/>
    <s v="Distributed high-level open architecture"/>
    <n v="6800"/>
    <n v="14865"/>
    <x v="1"/>
    <n v="244"/>
    <s v="US"/>
    <s v="USD"/>
    <n v="1404968400"/>
    <n v="1405141200"/>
    <b v="0"/>
    <b v="0"/>
    <s v="music/rock"/>
    <n v="218.60294117647058"/>
    <n v="60.922131147540981"/>
    <x v="1"/>
    <s v="rock"/>
    <x v="529"/>
    <d v="1974-06-15T07:42:00"/>
  </r>
  <r>
    <n v="568"/>
    <s v="Hardin-Foley"/>
    <s v="Synergized zero tolerance help-desk"/>
    <n v="72400"/>
    <n v="134688"/>
    <x v="1"/>
    <n v="5180"/>
    <s v="US"/>
    <s v="USD"/>
    <n v="1279170000"/>
    <n v="1283058000"/>
    <b v="0"/>
    <b v="0"/>
    <s v="theater/plays"/>
    <n v="186.03314917127071"/>
    <n v="26.0015444015444"/>
    <x v="3"/>
    <s v="plays"/>
    <x v="530"/>
    <d v="1974-01-25T00:30:00"/>
  </r>
  <r>
    <n v="569"/>
    <s v="Fischer, Fowler and Arnold"/>
    <s v="Extended multi-tasking definition"/>
    <n v="20100"/>
    <n v="47705"/>
    <x v="1"/>
    <n v="589"/>
    <s v="IT"/>
    <s v="EUR"/>
    <n v="1294725600"/>
    <n v="1295762400"/>
    <b v="0"/>
    <b v="0"/>
    <s v="film &amp; video/animation"/>
    <n v="237.33830845771143"/>
    <n v="80.993208828522924"/>
    <x v="4"/>
    <s v="animation"/>
    <x v="531"/>
    <d v="1974-02-08T17:24:00"/>
  </r>
  <r>
    <n v="570"/>
    <s v="Martinez-Juarez"/>
    <s v="Realigned uniform knowledge user"/>
    <n v="31200"/>
    <n v="95364"/>
    <x v="1"/>
    <n v="2725"/>
    <s v="US"/>
    <s v="USD"/>
    <n v="1419055200"/>
    <n v="1419573600"/>
    <b v="0"/>
    <b v="1"/>
    <s v="music/rock"/>
    <n v="305.65384615384613"/>
    <n v="34.995963302752294"/>
    <x v="1"/>
    <s v="rock"/>
    <x v="515"/>
    <d v="1974-07-02T00:36:00"/>
  </r>
  <r>
    <n v="571"/>
    <s v="Wilson and Sons"/>
    <s v="Monitored grid-enabled model"/>
    <n v="3500"/>
    <n v="3295"/>
    <x v="0"/>
    <n v="35"/>
    <s v="IT"/>
    <s v="EUR"/>
    <n v="1434690000"/>
    <n v="1438750800"/>
    <b v="0"/>
    <b v="0"/>
    <s v="film &amp; video/shorts"/>
    <n v="94.142857142857139"/>
    <n v="94.142857142857139"/>
    <x v="4"/>
    <s v="shorts"/>
    <x v="532"/>
    <d v="1974-07-24T05:18:00"/>
  </r>
  <r>
    <n v="572"/>
    <s v="Clements Group"/>
    <s v="Assimilated actuating policy"/>
    <n v="9000"/>
    <n v="4896"/>
    <x v="3"/>
    <n v="94"/>
    <s v="US"/>
    <s v="USD"/>
    <n v="1443416400"/>
    <n v="1444798800"/>
    <b v="0"/>
    <b v="1"/>
    <s v="music/rock"/>
    <n v="54.400000000000006"/>
    <n v="52.085106382978722"/>
    <x v="1"/>
    <s v="rock"/>
    <x v="533"/>
    <d v="1974-07-31T05:18:00"/>
  </r>
  <r>
    <n v="573"/>
    <s v="Valenzuela-Cook"/>
    <s v="Total incremental productivity"/>
    <n v="6700"/>
    <n v="7496"/>
    <x v="1"/>
    <n v="300"/>
    <s v="US"/>
    <s v="USD"/>
    <n v="1399006800"/>
    <n v="1399179600"/>
    <b v="0"/>
    <b v="0"/>
    <s v="journalism/audio"/>
    <n v="111.88059701492537"/>
    <n v="24.986666666666668"/>
    <x v="8"/>
    <s v="audio"/>
    <x v="409"/>
    <d v="1974-06-08T10:06:00"/>
  </r>
  <r>
    <n v="574"/>
    <s v="Parker, Haley and Foster"/>
    <s v="Adaptive local task-force"/>
    <n v="2700"/>
    <n v="9967"/>
    <x v="1"/>
    <n v="144"/>
    <s v="US"/>
    <s v="USD"/>
    <n v="1575698400"/>
    <n v="1576562400"/>
    <b v="0"/>
    <b v="1"/>
    <s v="food/food trucks"/>
    <n v="369.14814814814815"/>
    <n v="69.215277777777771"/>
    <x v="0"/>
    <s v="food trucks"/>
    <x v="534"/>
    <d v="1974-12-30T17:24:00"/>
  </r>
  <r>
    <n v="575"/>
    <s v="Fuentes LLC"/>
    <s v="Universal zero-defect concept"/>
    <n v="83300"/>
    <n v="52421"/>
    <x v="0"/>
    <n v="558"/>
    <s v="US"/>
    <s v="USD"/>
    <n v="1400562000"/>
    <n v="1400821200"/>
    <b v="0"/>
    <b v="1"/>
    <s v="theater/plays"/>
    <n v="62.930372148859547"/>
    <n v="93.944444444444443"/>
    <x v="3"/>
    <s v="plays"/>
    <x v="53"/>
    <d v="1974-06-10T07:42:00"/>
  </r>
  <r>
    <n v="576"/>
    <s v="Moran and Sons"/>
    <s v="Object-based bottom-line superstructure"/>
    <n v="9700"/>
    <n v="6298"/>
    <x v="0"/>
    <n v="64"/>
    <s v="US"/>
    <s v="USD"/>
    <n v="1509512400"/>
    <n v="1510984800"/>
    <b v="0"/>
    <b v="0"/>
    <s v="theater/plays"/>
    <n v="64.927835051546396"/>
    <n v="98.40625"/>
    <x v="3"/>
    <s v="plays"/>
    <x v="535"/>
    <d v="1974-10-15T19:48:00"/>
  </r>
  <r>
    <n v="577"/>
    <s v="Stevens Inc"/>
    <s v="Adaptive 24hour projection"/>
    <n v="8200"/>
    <n v="1546"/>
    <x v="3"/>
    <n v="37"/>
    <s v="US"/>
    <s v="USD"/>
    <n v="1299823200"/>
    <n v="1302066000"/>
    <b v="0"/>
    <b v="0"/>
    <s v="music/jazz"/>
    <n v="18.853658536585368"/>
    <n v="41.783783783783782"/>
    <x v="1"/>
    <s v="jazz"/>
    <x v="536"/>
    <d v="1974-02-16T00:30:00"/>
  </r>
  <r>
    <n v="578"/>
    <s v="Martinez-Johnson"/>
    <s v="Sharable radical toolset"/>
    <n v="96500"/>
    <n v="16168"/>
    <x v="0"/>
    <n v="245"/>
    <s v="US"/>
    <s v="USD"/>
    <n v="1322719200"/>
    <n v="1322978400"/>
    <b v="0"/>
    <b v="0"/>
    <s v="film &amp; video/science fiction"/>
    <n v="16.754404145077721"/>
    <n v="65.991836734693877"/>
    <x v="4"/>
    <s v="science fiction"/>
    <x v="537"/>
    <d v="1974-03-12T05:24:00"/>
  </r>
  <r>
    <n v="579"/>
    <s v="Franklin Inc"/>
    <s v="Focused multimedia knowledgebase"/>
    <n v="6200"/>
    <n v="6269"/>
    <x v="1"/>
    <n v="87"/>
    <s v="US"/>
    <s v="USD"/>
    <n v="1312693200"/>
    <n v="1313730000"/>
    <b v="0"/>
    <b v="0"/>
    <s v="music/jazz"/>
    <n v="101.11290322580646"/>
    <n v="72.05747126436782"/>
    <x v="1"/>
    <s v="jazz"/>
    <x v="538"/>
    <d v="1974-03-01T12:30:00"/>
  </r>
  <r>
    <n v="580"/>
    <s v="Perez PLC"/>
    <s v="Seamless 6thgeneration extranet"/>
    <n v="43800"/>
    <n v="149578"/>
    <x v="1"/>
    <n v="3116"/>
    <s v="US"/>
    <s v="USD"/>
    <n v="1393394400"/>
    <n v="1394085600"/>
    <b v="0"/>
    <b v="0"/>
    <s v="theater/plays"/>
    <n v="341.5022831050228"/>
    <n v="48.003209242618745"/>
    <x v="3"/>
    <s v="plays"/>
    <x v="539"/>
    <d v="1974-06-02T12:36:00"/>
  </r>
  <r>
    <n v="581"/>
    <s v="Sanchez, Cross and Savage"/>
    <s v="Sharable mobile knowledgebase"/>
    <n v="6000"/>
    <n v="3841"/>
    <x v="0"/>
    <n v="71"/>
    <s v="US"/>
    <s v="USD"/>
    <n v="1304053200"/>
    <n v="1305349200"/>
    <b v="0"/>
    <b v="0"/>
    <s v="technology/web"/>
    <n v="64.016666666666666"/>
    <n v="54.098591549295776"/>
    <x v="2"/>
    <s v="web"/>
    <x v="540"/>
    <d v="1974-02-19T19:42:00"/>
  </r>
  <r>
    <n v="582"/>
    <s v="Pineda Ltd"/>
    <s v="Cross-group global system engine"/>
    <n v="8700"/>
    <n v="4531"/>
    <x v="0"/>
    <n v="42"/>
    <s v="US"/>
    <s v="USD"/>
    <n v="1433912400"/>
    <n v="1434344400"/>
    <b v="0"/>
    <b v="1"/>
    <s v="games/video games"/>
    <n v="52.080459770114942"/>
    <n v="107.88095238095238"/>
    <x v="6"/>
    <s v="video games"/>
    <x v="505"/>
    <d v="1974-07-19T02:54:00"/>
  </r>
  <r>
    <n v="583"/>
    <s v="Powell and Sons"/>
    <s v="Centralized clear-thinking conglomeration"/>
    <n v="18900"/>
    <n v="60934"/>
    <x v="1"/>
    <n v="909"/>
    <s v="US"/>
    <s v="USD"/>
    <n v="1329717600"/>
    <n v="1331186400"/>
    <b v="0"/>
    <b v="0"/>
    <s v="film &amp; video/documentary"/>
    <n v="322.40211640211641"/>
    <n v="67.034103410341032"/>
    <x v="4"/>
    <s v="documentary"/>
    <x v="541"/>
    <d v="1974-03-21T17:24:00"/>
  </r>
  <r>
    <n v="584"/>
    <s v="Nunez-Richards"/>
    <s v="De-engineered cohesive system engine"/>
    <n v="86400"/>
    <n v="103255"/>
    <x v="1"/>
    <n v="1613"/>
    <s v="US"/>
    <s v="USD"/>
    <n v="1335330000"/>
    <n v="1336539600"/>
    <b v="0"/>
    <b v="0"/>
    <s v="technology/web"/>
    <n v="119.50810185185186"/>
    <n v="64.01425914445133"/>
    <x v="2"/>
    <s v="web"/>
    <x v="542"/>
    <d v="1974-03-27T22:06:00"/>
  </r>
  <r>
    <n v="585"/>
    <s v="Pugh LLC"/>
    <s v="Reactive analyzing function"/>
    <n v="8900"/>
    <n v="13065"/>
    <x v="1"/>
    <n v="136"/>
    <s v="US"/>
    <s v="USD"/>
    <n v="1268888400"/>
    <n v="1269752400"/>
    <b v="0"/>
    <b v="0"/>
    <s v="publishing/translations"/>
    <n v="146.79775280898878"/>
    <n v="96.066176470588232"/>
    <x v="5"/>
    <s v="translations"/>
    <x v="543"/>
    <d v="1974-01-09T14:54:00"/>
  </r>
  <r>
    <n v="586"/>
    <s v="Rowe-Wong"/>
    <s v="Robust hybrid budgetary management"/>
    <n v="700"/>
    <n v="6654"/>
    <x v="1"/>
    <n v="130"/>
    <s v="US"/>
    <s v="USD"/>
    <n v="1289973600"/>
    <n v="1291615200"/>
    <b v="0"/>
    <b v="0"/>
    <s v="music/rock"/>
    <n v="950.57142857142856"/>
    <n v="51.184615384615384"/>
    <x v="1"/>
    <s v="rock"/>
    <x v="544"/>
    <d v="1974-02-03T22:12:00"/>
  </r>
  <r>
    <n v="587"/>
    <s v="Williams-Santos"/>
    <s v="Open-source analyzing monitoring"/>
    <n v="9400"/>
    <n v="6852"/>
    <x v="0"/>
    <n v="156"/>
    <s v="CA"/>
    <s v="CAD"/>
    <n v="1547877600"/>
    <n v="1552366800"/>
    <b v="0"/>
    <b v="1"/>
    <s v="food/food trucks"/>
    <n v="72.893617021276597"/>
    <n v="43.92307692307692"/>
    <x v="0"/>
    <s v="food trucks"/>
    <x v="35"/>
    <d v="1974-12-02T17:18:00"/>
  </r>
  <r>
    <n v="588"/>
    <s v="Weber Inc"/>
    <s v="Up-sized discrete firmware"/>
    <n v="157600"/>
    <n v="124517"/>
    <x v="0"/>
    <n v="1368"/>
    <s v="GB"/>
    <s v="GBP"/>
    <n v="1269493200"/>
    <n v="1272171600"/>
    <b v="0"/>
    <b v="0"/>
    <s v="theater/plays"/>
    <n v="79.008248730964468"/>
    <n v="91.021198830409361"/>
    <x v="3"/>
    <s v="plays"/>
    <x v="152"/>
    <d v="1974-01-12T10:06:00"/>
  </r>
  <r>
    <n v="589"/>
    <s v="Avery, Brown and Parker"/>
    <s v="Exclusive intangible extranet"/>
    <n v="7900"/>
    <n v="5113"/>
    <x v="0"/>
    <n v="102"/>
    <s v="US"/>
    <s v="USD"/>
    <n v="1436072400"/>
    <n v="1436677200"/>
    <b v="0"/>
    <b v="0"/>
    <s v="film &amp; video/documentary"/>
    <n v="64.721518987341781"/>
    <n v="50.127450980392155"/>
    <x v="4"/>
    <s v="documentary"/>
    <x v="545"/>
    <d v="1974-07-21T19:42:00"/>
  </r>
  <r>
    <n v="590"/>
    <s v="Cox Group"/>
    <s v="Synergized analyzing process improvement"/>
    <n v="7100"/>
    <n v="5824"/>
    <x v="0"/>
    <n v="86"/>
    <s v="AU"/>
    <s v="AUD"/>
    <n v="1419141600"/>
    <n v="1420092000"/>
    <b v="0"/>
    <b v="0"/>
    <s v="publishing/radio &amp; podcasts"/>
    <n v="82.028169014084511"/>
    <n v="67.720930232558146"/>
    <x v="5"/>
    <s v="radio &amp; podcasts"/>
    <x v="546"/>
    <d v="1974-07-02T15:00:00"/>
  </r>
  <r>
    <n v="591"/>
    <s v="Jensen LLC"/>
    <s v="Realigned dedicated system engine"/>
    <n v="600"/>
    <n v="6226"/>
    <x v="1"/>
    <n v="102"/>
    <s v="US"/>
    <s v="USD"/>
    <n v="1279083600"/>
    <n v="1279947600"/>
    <b v="0"/>
    <b v="0"/>
    <s v="games/video games"/>
    <n v="1037.6666666666667"/>
    <n v="61.03921568627451"/>
    <x v="6"/>
    <s v="video games"/>
    <x v="547"/>
    <d v="1974-01-21T10:06:00"/>
  </r>
  <r>
    <n v="592"/>
    <s v="Brown Inc"/>
    <s v="Object-based bandwidth-monitored concept"/>
    <n v="156800"/>
    <n v="20243"/>
    <x v="0"/>
    <n v="253"/>
    <s v="US"/>
    <s v="USD"/>
    <n v="1401426000"/>
    <n v="1402203600"/>
    <b v="0"/>
    <b v="0"/>
    <s v="theater/plays"/>
    <n v="12.910076530612244"/>
    <n v="80.011857707509876"/>
    <x v="3"/>
    <s v="plays"/>
    <x v="548"/>
    <d v="1974-06-11T22:06:00"/>
  </r>
  <r>
    <n v="593"/>
    <s v="Hale-Hayes"/>
    <s v="Ameliorated client-driven open system"/>
    <n v="121600"/>
    <n v="188288"/>
    <x v="1"/>
    <n v="4006"/>
    <s v="US"/>
    <s v="USD"/>
    <n v="1395810000"/>
    <n v="1396933200"/>
    <b v="0"/>
    <b v="0"/>
    <s v="film &amp; video/animation"/>
    <n v="154.84210526315789"/>
    <n v="47.001497753369947"/>
    <x v="4"/>
    <s v="animation"/>
    <x v="549"/>
    <d v="1974-06-05T19:42:00"/>
  </r>
  <r>
    <n v="594"/>
    <s v="Mcbride PLC"/>
    <s v="Upgradable leadingedge Local Area Network"/>
    <n v="157300"/>
    <n v="11167"/>
    <x v="0"/>
    <n v="157"/>
    <s v="US"/>
    <s v="USD"/>
    <n v="1467003600"/>
    <n v="1467262800"/>
    <b v="0"/>
    <b v="1"/>
    <s v="theater/plays"/>
    <n v="7.0991735537190088"/>
    <n v="71.127388535031841"/>
    <x v="3"/>
    <s v="plays"/>
    <x v="550"/>
    <d v="1974-08-26T05:18:00"/>
  </r>
  <r>
    <n v="595"/>
    <s v="Harris-Jennings"/>
    <s v="Customizable intermediate data-warehouse"/>
    <n v="70300"/>
    <n v="146595"/>
    <x v="1"/>
    <n v="1629"/>
    <s v="US"/>
    <s v="USD"/>
    <n v="1268715600"/>
    <n v="1270530000"/>
    <b v="0"/>
    <b v="1"/>
    <s v="theater/plays"/>
    <n v="208.52773826458036"/>
    <n v="89.99079189686924"/>
    <x v="3"/>
    <s v="plays"/>
    <x v="551"/>
    <d v="1974-01-10T12:30:00"/>
  </r>
  <r>
    <n v="596"/>
    <s v="Becker-Scott"/>
    <s v="Managed optimizing archive"/>
    <n v="7900"/>
    <n v="7875"/>
    <x v="0"/>
    <n v="183"/>
    <s v="US"/>
    <s v="USD"/>
    <n v="1457157600"/>
    <n v="1457762400"/>
    <b v="0"/>
    <b v="1"/>
    <s v="film &amp; video/drama"/>
    <n v="99.683544303797461"/>
    <n v="43.032786885245905"/>
    <x v="4"/>
    <s v="drama"/>
    <x v="552"/>
    <d v="1974-08-15T05:24:00"/>
  </r>
  <r>
    <n v="597"/>
    <s v="Todd, Freeman and Henry"/>
    <s v="Diverse systematic projection"/>
    <n v="73800"/>
    <n v="148779"/>
    <x v="1"/>
    <n v="2188"/>
    <s v="US"/>
    <s v="USD"/>
    <n v="1573970400"/>
    <n v="1575525600"/>
    <b v="0"/>
    <b v="0"/>
    <s v="theater/plays"/>
    <n v="201.59756097560978"/>
    <n v="67.997714808043881"/>
    <x v="3"/>
    <s v="plays"/>
    <x v="462"/>
    <d v="1974-12-29T12:36:00"/>
  </r>
  <r>
    <n v="598"/>
    <s v="Martinez, Garza and Young"/>
    <s v="Up-sized web-enabled info-mediaries"/>
    <n v="108500"/>
    <n v="175868"/>
    <x v="1"/>
    <n v="2409"/>
    <s v="IT"/>
    <s v="EUR"/>
    <n v="1276578000"/>
    <n v="1279083600"/>
    <b v="0"/>
    <b v="0"/>
    <s v="music/rock"/>
    <n v="162.09032258064516"/>
    <n v="73.004566210045667"/>
    <x v="1"/>
    <s v="rock"/>
    <x v="553"/>
    <d v="1974-01-20T10:06:00"/>
  </r>
  <r>
    <n v="599"/>
    <s v="Smith-Ramos"/>
    <s v="Persevering optimizing Graphical User Interface"/>
    <n v="140300"/>
    <n v="5112"/>
    <x v="0"/>
    <n v="82"/>
    <s v="DK"/>
    <s v="DKK"/>
    <n v="1423720800"/>
    <n v="1424412000"/>
    <b v="0"/>
    <b v="0"/>
    <s v="film &amp; video/documentary"/>
    <n v="3.6436208125445471"/>
    <n v="62.341463414634148"/>
    <x v="4"/>
    <s v="documentary"/>
    <x v="554"/>
    <d v="1974-07-07T15:00:00"/>
  </r>
  <r>
    <n v="600"/>
    <s v="Brown-George"/>
    <s v="Cross-platform tertiary array"/>
    <n v="100"/>
    <n v="5"/>
    <x v="0"/>
    <n v="1"/>
    <s v="GB"/>
    <s v="GBP"/>
    <n v="1375160400"/>
    <n v="1376197200"/>
    <b v="0"/>
    <b v="0"/>
    <s v="food/food trucks"/>
    <n v="5"/>
    <n v="5"/>
    <x v="0"/>
    <s v="food trucks"/>
    <x v="555"/>
    <d v="1974-05-12T19:42:00"/>
  </r>
  <r>
    <n v="601"/>
    <s v="Waters and Sons"/>
    <s v="Inverse neutral structure"/>
    <n v="6300"/>
    <n v="13018"/>
    <x v="1"/>
    <n v="194"/>
    <s v="US"/>
    <s v="USD"/>
    <n v="1401426000"/>
    <n v="1402894800"/>
    <b v="1"/>
    <b v="0"/>
    <s v="technology/wearables"/>
    <n v="206.63492063492063"/>
    <n v="67.103092783505161"/>
    <x v="2"/>
    <s v="wearables"/>
    <x v="548"/>
    <d v="1974-06-12T17:18:00"/>
  </r>
  <r>
    <n v="602"/>
    <s v="Brown Ltd"/>
    <s v="Quality-focused system-worthy support"/>
    <n v="71100"/>
    <n v="91176"/>
    <x v="1"/>
    <n v="1140"/>
    <s v="US"/>
    <s v="USD"/>
    <n v="1433480400"/>
    <n v="1434430800"/>
    <b v="0"/>
    <b v="0"/>
    <s v="theater/plays"/>
    <n v="128.23628691983123"/>
    <n v="79.978947368421046"/>
    <x v="3"/>
    <s v="plays"/>
    <x v="62"/>
    <d v="1974-07-19T05:18:00"/>
  </r>
  <r>
    <n v="603"/>
    <s v="Christian, Yates and Greer"/>
    <s v="Vision-oriented 5thgeneration array"/>
    <n v="5300"/>
    <n v="6342"/>
    <x v="1"/>
    <n v="102"/>
    <s v="US"/>
    <s v="USD"/>
    <n v="1555563600"/>
    <n v="1557896400"/>
    <b v="0"/>
    <b v="0"/>
    <s v="theater/plays"/>
    <n v="119.66037735849055"/>
    <n v="62.176470588235297"/>
    <x v="3"/>
    <s v="plays"/>
    <x v="556"/>
    <d v="1974-12-09T02:54:00"/>
  </r>
  <r>
    <n v="604"/>
    <s v="Cole, Hernandez and Rodriguez"/>
    <s v="Cross-platform logistical circuit"/>
    <n v="88700"/>
    <n v="151438"/>
    <x v="1"/>
    <n v="2857"/>
    <s v="US"/>
    <s v="USD"/>
    <n v="1295676000"/>
    <n v="1297490400"/>
    <b v="0"/>
    <b v="0"/>
    <s v="theater/plays"/>
    <n v="170.73055242390078"/>
    <n v="53.005950297514879"/>
    <x v="3"/>
    <s v="plays"/>
    <x v="557"/>
    <d v="1974-02-10T17:24:00"/>
  </r>
  <r>
    <n v="605"/>
    <s v="Ortiz, Valenzuela and Collins"/>
    <s v="Profound solution-oriented matrix"/>
    <n v="3300"/>
    <n v="6178"/>
    <x v="1"/>
    <n v="107"/>
    <s v="US"/>
    <s v="USD"/>
    <n v="1443848400"/>
    <n v="1447394400"/>
    <b v="0"/>
    <b v="0"/>
    <s v="publishing/nonfiction"/>
    <n v="187.21212121212122"/>
    <n v="57.738317757009348"/>
    <x v="5"/>
    <s v="nonfiction"/>
    <x v="27"/>
    <d v="1974-08-03T05:24:00"/>
  </r>
  <r>
    <n v="606"/>
    <s v="Valencia PLC"/>
    <s v="Extended asynchronous initiative"/>
    <n v="3400"/>
    <n v="6405"/>
    <x v="1"/>
    <n v="160"/>
    <s v="GB"/>
    <s v="GBP"/>
    <n v="1457330400"/>
    <n v="1458277200"/>
    <b v="0"/>
    <b v="0"/>
    <s v="music/rock"/>
    <n v="188.38235294117646"/>
    <n v="40.03125"/>
    <x v="1"/>
    <s v="rock"/>
    <x v="558"/>
    <d v="1974-08-15T19:42:00"/>
  </r>
  <r>
    <n v="607"/>
    <s v="Gordon, Mendez and Johnson"/>
    <s v="Fundamental needs-based frame"/>
    <n v="137600"/>
    <n v="180667"/>
    <x v="1"/>
    <n v="2230"/>
    <s v="US"/>
    <s v="USD"/>
    <n v="1395550800"/>
    <n v="1395723600"/>
    <b v="0"/>
    <b v="0"/>
    <s v="food/food trucks"/>
    <n v="131.29869186046511"/>
    <n v="81.016591928251117"/>
    <x v="0"/>
    <s v="food trucks"/>
    <x v="559"/>
    <d v="1974-06-04T10:06:00"/>
  </r>
  <r>
    <n v="608"/>
    <s v="Johnson Group"/>
    <s v="Compatible full-range leverage"/>
    <n v="3900"/>
    <n v="11075"/>
    <x v="1"/>
    <n v="316"/>
    <s v="US"/>
    <s v="USD"/>
    <n v="1551852000"/>
    <n v="1552197600"/>
    <b v="0"/>
    <b v="1"/>
    <s v="music/jazz"/>
    <n v="283.97435897435901"/>
    <n v="35.047468354430379"/>
    <x v="1"/>
    <s v="jazz"/>
    <x v="426"/>
    <d v="1974-12-02T12:36:00"/>
  </r>
  <r>
    <n v="609"/>
    <s v="Rose-Fuller"/>
    <s v="Upgradable holistic system engine"/>
    <n v="10000"/>
    <n v="12042"/>
    <x v="1"/>
    <n v="117"/>
    <s v="US"/>
    <s v="USD"/>
    <n v="1547618400"/>
    <n v="1549087200"/>
    <b v="0"/>
    <b v="0"/>
    <s v="film &amp; video/science fiction"/>
    <n v="120.41999999999999"/>
    <n v="102.92307692307692"/>
    <x v="4"/>
    <s v="science fiction"/>
    <x v="560"/>
    <d v="1974-11-28T22:12:00"/>
  </r>
  <r>
    <n v="610"/>
    <s v="Hughes, Mendez and Patterson"/>
    <s v="Stand-alone multi-state data-warehouse"/>
    <n v="42800"/>
    <n v="179356"/>
    <x v="1"/>
    <n v="6406"/>
    <s v="US"/>
    <s v="USD"/>
    <n v="1355637600"/>
    <n v="1356847200"/>
    <b v="0"/>
    <b v="0"/>
    <s v="theater/plays"/>
    <n v="419.0560747663551"/>
    <n v="27.998126756166094"/>
    <x v="3"/>
    <s v="plays"/>
    <x v="561"/>
    <d v="1974-04-20T10:12:00"/>
  </r>
  <r>
    <n v="611"/>
    <s v="Brady, Cortez and Rodriguez"/>
    <s v="Multi-lateral maximized core"/>
    <n v="8200"/>
    <n v="1136"/>
    <x v="3"/>
    <n v="15"/>
    <s v="US"/>
    <s v="USD"/>
    <n v="1374728400"/>
    <n v="1375765200"/>
    <b v="0"/>
    <b v="0"/>
    <s v="theater/plays"/>
    <n v="13.853658536585368"/>
    <n v="75.733333333333334"/>
    <x v="3"/>
    <s v="plays"/>
    <x v="562"/>
    <d v="1974-05-12T07:42:00"/>
  </r>
  <r>
    <n v="612"/>
    <s v="Wang, Nguyen and Horton"/>
    <s v="Innovative holistic hub"/>
    <n v="6200"/>
    <n v="8645"/>
    <x v="1"/>
    <n v="192"/>
    <s v="US"/>
    <s v="USD"/>
    <n v="1287810000"/>
    <n v="1289800800"/>
    <b v="0"/>
    <b v="0"/>
    <s v="music/electric music"/>
    <n v="139.43548387096774"/>
    <n v="45.026041666666664"/>
    <x v="1"/>
    <s v="electric music"/>
    <x v="563"/>
    <d v="1974-02-01T19:48:00"/>
  </r>
  <r>
    <n v="613"/>
    <s v="Santos, Williams and Brown"/>
    <s v="Reverse-engineered 24/7 methodology"/>
    <n v="1100"/>
    <n v="1914"/>
    <x v="1"/>
    <n v="26"/>
    <s v="CA"/>
    <s v="CAD"/>
    <n v="1503723600"/>
    <n v="1504501200"/>
    <b v="0"/>
    <b v="0"/>
    <s v="theater/plays"/>
    <n v="174"/>
    <n v="73.615384615384613"/>
    <x v="3"/>
    <s v="plays"/>
    <x v="564"/>
    <d v="1974-10-08T07:42:00"/>
  </r>
  <r>
    <n v="614"/>
    <s v="Barnett and Sons"/>
    <s v="Business-focused dynamic info-mediaries"/>
    <n v="26500"/>
    <n v="41205"/>
    <x v="1"/>
    <n v="723"/>
    <s v="US"/>
    <s v="USD"/>
    <n v="1484114400"/>
    <n v="1485669600"/>
    <b v="0"/>
    <b v="0"/>
    <s v="theater/plays"/>
    <n v="155.49056603773585"/>
    <n v="56.991701244813278"/>
    <x v="3"/>
    <s v="plays"/>
    <x v="565"/>
    <d v="1974-09-16T12:36:00"/>
  </r>
  <r>
    <n v="615"/>
    <s v="Petersen-Rodriguez"/>
    <s v="Digitized clear-thinking installation"/>
    <n v="8500"/>
    <n v="14488"/>
    <x v="1"/>
    <n v="170"/>
    <s v="IT"/>
    <s v="EUR"/>
    <n v="1461906000"/>
    <n v="1462770000"/>
    <b v="0"/>
    <b v="0"/>
    <s v="theater/plays"/>
    <n v="170.44705882352943"/>
    <n v="85.223529411764702"/>
    <x v="3"/>
    <s v="plays"/>
    <x v="566"/>
    <d v="1974-08-21T00:30:00"/>
  </r>
  <r>
    <n v="616"/>
    <s v="Burnett-Mora"/>
    <s v="Quality-focused 24/7 superstructure"/>
    <n v="6400"/>
    <n v="12129"/>
    <x v="1"/>
    <n v="238"/>
    <s v="GB"/>
    <s v="GBP"/>
    <n v="1379653200"/>
    <n v="1379739600"/>
    <b v="0"/>
    <b v="1"/>
    <s v="music/indie rock"/>
    <n v="189.515625"/>
    <n v="50.962184873949582"/>
    <x v="1"/>
    <s v="indie rock"/>
    <x v="567"/>
    <d v="1974-05-16T22:06:00"/>
  </r>
  <r>
    <n v="617"/>
    <s v="King LLC"/>
    <s v="Multi-channeled local intranet"/>
    <n v="1400"/>
    <n v="3496"/>
    <x v="1"/>
    <n v="55"/>
    <s v="US"/>
    <s v="USD"/>
    <n v="1401858000"/>
    <n v="1402722000"/>
    <b v="0"/>
    <b v="0"/>
    <s v="theater/plays"/>
    <n v="249.71428571428572"/>
    <n v="63.563636363636363"/>
    <x v="3"/>
    <s v="plays"/>
    <x v="568"/>
    <d v="1974-06-12T12:30:00"/>
  </r>
  <r>
    <n v="618"/>
    <s v="Miller Ltd"/>
    <s v="Open-architected mobile emulation"/>
    <n v="198600"/>
    <n v="97037"/>
    <x v="0"/>
    <n v="1198"/>
    <s v="US"/>
    <s v="USD"/>
    <n v="1367470800"/>
    <n v="1369285200"/>
    <b v="0"/>
    <b v="0"/>
    <s v="publishing/nonfiction"/>
    <n v="48.860523665659613"/>
    <n v="80.999165275459092"/>
    <x v="5"/>
    <s v="nonfiction"/>
    <x v="569"/>
    <d v="1974-05-04T19:42:00"/>
  </r>
  <r>
    <n v="619"/>
    <s v="Case LLC"/>
    <s v="Ameliorated foreground methodology"/>
    <n v="195900"/>
    <n v="55757"/>
    <x v="0"/>
    <n v="648"/>
    <s v="US"/>
    <s v="USD"/>
    <n v="1304658000"/>
    <n v="1304744400"/>
    <b v="1"/>
    <b v="1"/>
    <s v="theater/plays"/>
    <n v="28.461970393057683"/>
    <n v="86.044753086419746"/>
    <x v="3"/>
    <s v="plays"/>
    <x v="570"/>
    <d v="1974-02-19T02:54:00"/>
  </r>
  <r>
    <n v="620"/>
    <s v="Swanson, Wilson and Baker"/>
    <s v="Synergized well-modulated project"/>
    <n v="4300"/>
    <n v="11525"/>
    <x v="1"/>
    <n v="128"/>
    <s v="AU"/>
    <s v="AUD"/>
    <n v="1467954000"/>
    <n v="1468299600"/>
    <b v="0"/>
    <b v="0"/>
    <s v="photography/photography books"/>
    <n v="268.02325581395348"/>
    <n v="90.0390625"/>
    <x v="7"/>
    <s v="photography books"/>
    <x v="571"/>
    <d v="1974-08-27T10:06:00"/>
  </r>
  <r>
    <n v="621"/>
    <s v="Dean, Fox and Phillips"/>
    <s v="Extended context-sensitive forecast"/>
    <n v="25600"/>
    <n v="158669"/>
    <x v="1"/>
    <n v="2144"/>
    <s v="US"/>
    <s v="USD"/>
    <n v="1473742800"/>
    <n v="1474174800"/>
    <b v="0"/>
    <b v="0"/>
    <s v="theater/plays"/>
    <n v="619.80078125"/>
    <n v="74.006063432835816"/>
    <x v="3"/>
    <s v="plays"/>
    <x v="572"/>
    <d v="1974-09-03T05:18:00"/>
  </r>
  <r>
    <n v="622"/>
    <s v="Smith-Smith"/>
    <s v="Total leadingedge neural-net"/>
    <n v="189000"/>
    <n v="5916"/>
    <x v="0"/>
    <n v="64"/>
    <s v="US"/>
    <s v="USD"/>
    <n v="1523768400"/>
    <n v="1526014800"/>
    <b v="0"/>
    <b v="0"/>
    <s v="music/indie rock"/>
    <n v="3.1301587301587301"/>
    <n v="92.4375"/>
    <x v="1"/>
    <s v="indie rock"/>
    <x v="573"/>
    <d v="1974-11-02T05:18:00"/>
  </r>
  <r>
    <n v="623"/>
    <s v="Smith, Scott and Rodriguez"/>
    <s v="Organic actuating protocol"/>
    <n v="94300"/>
    <n v="150806"/>
    <x v="1"/>
    <n v="2693"/>
    <s v="GB"/>
    <s v="GBP"/>
    <n v="1437022800"/>
    <n v="1437454800"/>
    <b v="0"/>
    <b v="0"/>
    <s v="theater/plays"/>
    <n v="159.92152704135739"/>
    <n v="55.999257333828446"/>
    <x v="3"/>
    <s v="plays"/>
    <x v="574"/>
    <d v="1974-07-22T17:18:00"/>
  </r>
  <r>
    <n v="624"/>
    <s v="White, Robertson and Roberts"/>
    <s v="Down-sized national software"/>
    <n v="5100"/>
    <n v="14249"/>
    <x v="1"/>
    <n v="432"/>
    <s v="US"/>
    <s v="USD"/>
    <n v="1422165600"/>
    <n v="1422684000"/>
    <b v="0"/>
    <b v="0"/>
    <s v="photography/photography books"/>
    <n v="279.39215686274508"/>
    <n v="32.983796296296298"/>
    <x v="7"/>
    <s v="photography books"/>
    <x v="511"/>
    <d v="1974-07-05T15:00:00"/>
  </r>
  <r>
    <n v="625"/>
    <s v="Martinez Inc"/>
    <s v="Organic upward-trending Graphical User Interface"/>
    <n v="7500"/>
    <n v="5803"/>
    <x v="0"/>
    <n v="62"/>
    <s v="US"/>
    <s v="USD"/>
    <n v="1580104800"/>
    <n v="1581314400"/>
    <b v="0"/>
    <b v="0"/>
    <s v="theater/plays"/>
    <n v="77.373333333333335"/>
    <n v="93.596774193548384"/>
    <x v="3"/>
    <s v="plays"/>
    <x v="575"/>
    <d v="1975-01-05T05:24:00"/>
  </r>
  <r>
    <n v="626"/>
    <s v="Tucker, Mccoy and Marquez"/>
    <s v="Synergistic tertiary budgetary management"/>
    <n v="6400"/>
    <n v="13205"/>
    <x v="1"/>
    <n v="189"/>
    <s v="US"/>
    <s v="USD"/>
    <n v="1285650000"/>
    <n v="1286427600"/>
    <b v="0"/>
    <b v="1"/>
    <s v="theater/plays"/>
    <n v="206.32812500000003"/>
    <n v="69.867724867724874"/>
    <x v="3"/>
    <s v="plays"/>
    <x v="576"/>
    <d v="1974-01-28T22:06:00"/>
  </r>
  <r>
    <n v="627"/>
    <s v="Martin, Lee and Armstrong"/>
    <s v="Open-architected incremental ability"/>
    <n v="1600"/>
    <n v="11108"/>
    <x v="1"/>
    <n v="154"/>
    <s v="GB"/>
    <s v="GBP"/>
    <n v="1276664400"/>
    <n v="1278738000"/>
    <b v="1"/>
    <b v="0"/>
    <s v="food/food trucks"/>
    <n v="694.25"/>
    <n v="72.129870129870127"/>
    <x v="0"/>
    <s v="food trucks"/>
    <x v="577"/>
    <d v="1974-01-20T00:30:00"/>
  </r>
  <r>
    <n v="628"/>
    <s v="Dunn, Moreno and Green"/>
    <s v="Intuitive object-oriented task-force"/>
    <n v="1900"/>
    <n v="2884"/>
    <x v="1"/>
    <n v="96"/>
    <s v="US"/>
    <s v="USD"/>
    <n v="1286168400"/>
    <n v="1286427600"/>
    <b v="0"/>
    <b v="0"/>
    <s v="music/indie rock"/>
    <n v="151.78947368421052"/>
    <n v="30.041666666666668"/>
    <x v="1"/>
    <s v="indie rock"/>
    <x v="578"/>
    <d v="1974-01-28T22:06:00"/>
  </r>
  <r>
    <n v="629"/>
    <s v="Jackson, Martinez and Ray"/>
    <s v="Multi-tiered executive toolset"/>
    <n v="85900"/>
    <n v="55476"/>
    <x v="0"/>
    <n v="750"/>
    <s v="US"/>
    <s v="USD"/>
    <n v="1467781200"/>
    <n v="1467954000"/>
    <b v="0"/>
    <b v="1"/>
    <s v="theater/plays"/>
    <n v="64.58207217694995"/>
    <n v="73.968000000000004"/>
    <x v="3"/>
    <s v="plays"/>
    <x v="579"/>
    <d v="1974-08-27T00:30:00"/>
  </r>
  <r>
    <n v="630"/>
    <s v="Patterson-Johnson"/>
    <s v="Grass-roots directional workforce"/>
    <n v="9500"/>
    <n v="5973"/>
    <x v="3"/>
    <n v="87"/>
    <s v="US"/>
    <s v="USD"/>
    <n v="1556686800"/>
    <n v="1557637200"/>
    <b v="0"/>
    <b v="1"/>
    <s v="theater/plays"/>
    <n v="62.873684210526314"/>
    <n v="68.65517241379311"/>
    <x v="3"/>
    <s v="plays"/>
    <x v="580"/>
    <d v="1974-12-08T19:42:00"/>
  </r>
  <r>
    <n v="631"/>
    <s v="Carlson-Hernandez"/>
    <s v="Quality-focused real-time solution"/>
    <n v="59200"/>
    <n v="183756"/>
    <x v="1"/>
    <n v="3063"/>
    <s v="US"/>
    <s v="USD"/>
    <n v="1553576400"/>
    <n v="1553922000"/>
    <b v="0"/>
    <b v="0"/>
    <s v="theater/plays"/>
    <n v="310.39864864864865"/>
    <n v="59.992164544564154"/>
    <x v="3"/>
    <s v="plays"/>
    <x v="581"/>
    <d v="1974-12-04T12:30:00"/>
  </r>
  <r>
    <n v="632"/>
    <s v="Parker PLC"/>
    <s v="Reduced interactive matrix"/>
    <n v="72100"/>
    <n v="30902"/>
    <x v="2"/>
    <n v="278"/>
    <s v="US"/>
    <s v="USD"/>
    <n v="1414904400"/>
    <n v="1416463200"/>
    <b v="0"/>
    <b v="0"/>
    <s v="theater/plays"/>
    <n v="42.859916782246884"/>
    <n v="111.15827338129496"/>
    <x v="3"/>
    <s v="plays"/>
    <x v="582"/>
    <d v="1974-06-28T10:12:00"/>
  </r>
  <r>
    <n v="633"/>
    <s v="Yu and Sons"/>
    <s v="Adaptive context-sensitive architecture"/>
    <n v="6700"/>
    <n v="5569"/>
    <x v="0"/>
    <n v="105"/>
    <s v="US"/>
    <s v="USD"/>
    <n v="1446876000"/>
    <n v="1447221600"/>
    <b v="0"/>
    <b v="0"/>
    <s v="film &amp; video/animation"/>
    <n v="83.119402985074629"/>
    <n v="53.038095238095238"/>
    <x v="4"/>
    <s v="animation"/>
    <x v="336"/>
    <d v="1974-08-03T00:36:00"/>
  </r>
  <r>
    <n v="634"/>
    <s v="Taylor, Johnson and Hernandez"/>
    <s v="Polarized incremental portal"/>
    <n v="118200"/>
    <n v="92824"/>
    <x v="3"/>
    <n v="1658"/>
    <s v="US"/>
    <s v="USD"/>
    <n v="1490418000"/>
    <n v="1491627600"/>
    <b v="0"/>
    <b v="0"/>
    <s v="film &amp; video/television"/>
    <n v="78.531302876480552"/>
    <n v="55.985524728588658"/>
    <x v="4"/>
    <s v="television"/>
    <x v="583"/>
    <d v="1974-09-23T10:06:00"/>
  </r>
  <r>
    <n v="635"/>
    <s v="Mack Ltd"/>
    <s v="Reactive regional access"/>
    <n v="139000"/>
    <n v="158590"/>
    <x v="1"/>
    <n v="2266"/>
    <s v="US"/>
    <s v="USD"/>
    <n v="1360389600"/>
    <n v="1363150800"/>
    <b v="0"/>
    <b v="0"/>
    <s v="film &amp; video/television"/>
    <n v="114.09352517985612"/>
    <n v="69.986760812003524"/>
    <x v="4"/>
    <s v="television"/>
    <x v="584"/>
    <d v="1974-04-27T17:18:00"/>
  </r>
  <r>
    <n v="636"/>
    <s v="Lamb-Sanders"/>
    <s v="Stand-alone reciprocal frame"/>
    <n v="197700"/>
    <n v="127591"/>
    <x v="0"/>
    <n v="2604"/>
    <s v="DK"/>
    <s v="DKK"/>
    <n v="1326866400"/>
    <n v="1330754400"/>
    <b v="0"/>
    <b v="1"/>
    <s v="film &amp; video/animation"/>
    <n v="64.537683358624179"/>
    <n v="48.998079877112133"/>
    <x v="4"/>
    <s v="animation"/>
    <x v="585"/>
    <d v="1974-03-21T05:24:00"/>
  </r>
  <r>
    <n v="637"/>
    <s v="Williams-Ramirez"/>
    <s v="Open-architected 24/7 throughput"/>
    <n v="8500"/>
    <n v="6750"/>
    <x v="0"/>
    <n v="65"/>
    <s v="US"/>
    <s v="USD"/>
    <n v="1479103200"/>
    <n v="1479794400"/>
    <b v="0"/>
    <b v="0"/>
    <s v="theater/plays"/>
    <n v="79.411764705882348"/>
    <n v="103.84615384615384"/>
    <x v="3"/>
    <s v="plays"/>
    <x v="586"/>
    <d v="1974-09-09T17:24:00"/>
  </r>
  <r>
    <n v="638"/>
    <s v="Weaver Ltd"/>
    <s v="Monitored 24/7 approach"/>
    <n v="81600"/>
    <n v="9318"/>
    <x v="0"/>
    <n v="94"/>
    <s v="US"/>
    <s v="USD"/>
    <n v="1280206800"/>
    <n v="1281243600"/>
    <b v="0"/>
    <b v="1"/>
    <s v="theater/plays"/>
    <n v="11.419117647058824"/>
    <n v="99.127659574468083"/>
    <x v="3"/>
    <s v="plays"/>
    <x v="587"/>
    <d v="1974-01-22T22:06:00"/>
  </r>
  <r>
    <n v="639"/>
    <s v="Barnes-Williams"/>
    <s v="Upgradable explicit forecast"/>
    <n v="8600"/>
    <n v="4832"/>
    <x v="2"/>
    <n v="45"/>
    <s v="US"/>
    <s v="USD"/>
    <n v="1532754000"/>
    <n v="1532754000"/>
    <b v="0"/>
    <b v="1"/>
    <s v="film &amp; video/drama"/>
    <n v="56.186046511627907"/>
    <n v="107.37777777777778"/>
    <x v="4"/>
    <s v="drama"/>
    <x v="588"/>
    <d v="1974-11-10T00:30:00"/>
  </r>
  <r>
    <n v="640"/>
    <s v="Richardson, Woodward and Hansen"/>
    <s v="Pre-emptive context-sensitive support"/>
    <n v="119800"/>
    <n v="19769"/>
    <x v="0"/>
    <n v="257"/>
    <s v="US"/>
    <s v="USD"/>
    <n v="1453096800"/>
    <n v="1453356000"/>
    <b v="0"/>
    <b v="0"/>
    <s v="theater/plays"/>
    <n v="16.501669449081803"/>
    <n v="76.922178988326849"/>
    <x v="3"/>
    <s v="plays"/>
    <x v="589"/>
    <d v="1974-08-10T03:00:00"/>
  </r>
  <r>
    <n v="641"/>
    <s v="Hunt, Barker and Baker"/>
    <s v="Business-focused leadingedge instruction set"/>
    <n v="9400"/>
    <n v="11277"/>
    <x v="1"/>
    <n v="194"/>
    <s v="CH"/>
    <s v="CHF"/>
    <n v="1487570400"/>
    <n v="1489986000"/>
    <b v="0"/>
    <b v="0"/>
    <s v="theater/plays"/>
    <n v="119.96808510638297"/>
    <n v="58.128865979381445"/>
    <x v="3"/>
    <s v="plays"/>
    <x v="590"/>
    <d v="1974-09-21T12:30:00"/>
  </r>
  <r>
    <n v="642"/>
    <s v="Ramos, Moreno and Lewis"/>
    <s v="Extended multi-state knowledge user"/>
    <n v="9200"/>
    <n v="13382"/>
    <x v="1"/>
    <n v="129"/>
    <s v="CA"/>
    <s v="CAD"/>
    <n v="1545026400"/>
    <n v="1545804000"/>
    <b v="0"/>
    <b v="0"/>
    <s v="technology/wearables"/>
    <n v="145.45652173913044"/>
    <n v="103.73643410852713"/>
    <x v="2"/>
    <s v="wearables"/>
    <x v="591"/>
    <d v="1974-11-25T03:00:00"/>
  </r>
  <r>
    <n v="643"/>
    <s v="Harris Inc"/>
    <s v="Future-proofed modular groupware"/>
    <n v="14900"/>
    <n v="32986"/>
    <x v="1"/>
    <n v="375"/>
    <s v="US"/>
    <s v="USD"/>
    <n v="1488348000"/>
    <n v="1489899600"/>
    <b v="0"/>
    <b v="0"/>
    <s v="theater/plays"/>
    <n v="221.38255033557047"/>
    <n v="87.962666666666664"/>
    <x v="3"/>
    <s v="plays"/>
    <x v="592"/>
    <d v="1974-09-21T10:06:00"/>
  </r>
  <r>
    <n v="644"/>
    <s v="Peters-Nelson"/>
    <s v="Distributed real-time algorithm"/>
    <n v="169400"/>
    <n v="81984"/>
    <x v="0"/>
    <n v="2928"/>
    <s v="CA"/>
    <s v="CAD"/>
    <n v="1545112800"/>
    <n v="1546495200"/>
    <b v="0"/>
    <b v="0"/>
    <s v="theater/plays"/>
    <n v="48.396694214876035"/>
    <n v="28"/>
    <x v="3"/>
    <s v="plays"/>
    <x v="593"/>
    <d v="1974-11-25T22:12:00"/>
  </r>
  <r>
    <n v="645"/>
    <s v="Ferguson, Murphy and Bright"/>
    <s v="Multi-lateral heuristic throughput"/>
    <n v="192100"/>
    <n v="178483"/>
    <x v="0"/>
    <n v="4697"/>
    <s v="US"/>
    <s v="USD"/>
    <n v="1537938000"/>
    <n v="1539752400"/>
    <b v="0"/>
    <b v="1"/>
    <s v="music/rock"/>
    <n v="92.911504424778755"/>
    <n v="37.999361294443261"/>
    <x v="1"/>
    <s v="rock"/>
    <x v="594"/>
    <d v="1974-11-18T02:54:00"/>
  </r>
  <r>
    <n v="646"/>
    <s v="Robinson Group"/>
    <s v="Switchable reciprocal middleware"/>
    <n v="98700"/>
    <n v="87448"/>
    <x v="0"/>
    <n v="2915"/>
    <s v="US"/>
    <s v="USD"/>
    <n v="1363150800"/>
    <n v="1364101200"/>
    <b v="0"/>
    <b v="0"/>
    <s v="games/video games"/>
    <n v="88.599797365754824"/>
    <n v="29.999313893653515"/>
    <x v="6"/>
    <s v="video games"/>
    <x v="595"/>
    <d v="1974-04-28T19:42:00"/>
  </r>
  <r>
    <n v="647"/>
    <s v="Jordan-Wolfe"/>
    <s v="Inverse multimedia Graphic Interface"/>
    <n v="4500"/>
    <n v="1863"/>
    <x v="0"/>
    <n v="18"/>
    <s v="US"/>
    <s v="USD"/>
    <n v="1523250000"/>
    <n v="1525323600"/>
    <b v="0"/>
    <b v="0"/>
    <s v="publishing/translations"/>
    <n v="41.4"/>
    <n v="103.5"/>
    <x v="5"/>
    <s v="translations"/>
    <x v="596"/>
    <d v="1974-11-01T10:06:00"/>
  </r>
  <r>
    <n v="648"/>
    <s v="Vargas-Cox"/>
    <s v="Vision-oriented local contingency"/>
    <n v="98600"/>
    <n v="62174"/>
    <x v="3"/>
    <n v="723"/>
    <s v="US"/>
    <s v="USD"/>
    <n v="1499317200"/>
    <n v="1500872400"/>
    <b v="1"/>
    <b v="0"/>
    <s v="food/food trucks"/>
    <n v="63.056795131845846"/>
    <n v="85.994467496542185"/>
    <x v="0"/>
    <s v="food trucks"/>
    <x v="597"/>
    <d v="1974-10-04T02:54:00"/>
  </r>
  <r>
    <n v="649"/>
    <s v="Yang and Sons"/>
    <s v="Reactive 6thgeneration hub"/>
    <n v="121700"/>
    <n v="59003"/>
    <x v="0"/>
    <n v="602"/>
    <s v="CH"/>
    <s v="CHF"/>
    <n v="1287550800"/>
    <n v="1288501200"/>
    <b v="1"/>
    <b v="1"/>
    <s v="theater/plays"/>
    <n v="48.482333607230892"/>
    <n v="98.011627906976742"/>
    <x v="3"/>
    <s v="plays"/>
    <x v="598"/>
    <d v="1974-01-31T07:42:00"/>
  </r>
  <r>
    <n v="650"/>
    <s v="Wilson, Wilson and Mathis"/>
    <s v="Optional asymmetric success"/>
    <n v="100"/>
    <n v="2"/>
    <x v="0"/>
    <n v="1"/>
    <s v="US"/>
    <s v="USD"/>
    <n v="1404795600"/>
    <n v="1407128400"/>
    <b v="0"/>
    <b v="0"/>
    <s v="music/jazz"/>
    <n v="2"/>
    <n v="2"/>
    <x v="1"/>
    <s v="jazz"/>
    <x v="599"/>
    <d v="1974-06-17T14:54:00"/>
  </r>
  <r>
    <n v="651"/>
    <s v="Wang, Koch and Weaver"/>
    <s v="Digitized analyzing capacity"/>
    <n v="196700"/>
    <n v="174039"/>
    <x v="0"/>
    <n v="3868"/>
    <s v="IT"/>
    <s v="EUR"/>
    <n v="1393048800"/>
    <n v="1394344800"/>
    <b v="0"/>
    <b v="0"/>
    <s v="film &amp; video/shorts"/>
    <n v="88.47941026944585"/>
    <n v="44.994570837642193"/>
    <x v="4"/>
    <s v="shorts"/>
    <x v="600"/>
    <d v="1974-06-02T19:48:00"/>
  </r>
  <r>
    <n v="652"/>
    <s v="Cisneros Ltd"/>
    <s v="Vision-oriented regional hub"/>
    <n v="10000"/>
    <n v="12684"/>
    <x v="1"/>
    <n v="409"/>
    <s v="US"/>
    <s v="USD"/>
    <n v="1470373200"/>
    <n v="1474088400"/>
    <b v="0"/>
    <b v="0"/>
    <s v="technology/web"/>
    <n v="126.84"/>
    <n v="31.012224938875306"/>
    <x v="2"/>
    <s v="web"/>
    <x v="601"/>
    <d v="1974-09-03T02:54:00"/>
  </r>
  <r>
    <n v="653"/>
    <s v="Williams-Jones"/>
    <s v="Monitored incremental info-mediaries"/>
    <n v="600"/>
    <n v="14033"/>
    <x v="1"/>
    <n v="234"/>
    <s v="US"/>
    <s v="USD"/>
    <n v="1460091600"/>
    <n v="1460264400"/>
    <b v="0"/>
    <b v="0"/>
    <s v="technology/web"/>
    <n v="2338.833333333333"/>
    <n v="59.970085470085472"/>
    <x v="2"/>
    <s v="web"/>
    <x v="602"/>
    <d v="1974-08-18T02:54:00"/>
  </r>
  <r>
    <n v="654"/>
    <s v="Roberts, Hinton and Williams"/>
    <s v="Programmable static middleware"/>
    <n v="35000"/>
    <n v="177936"/>
    <x v="1"/>
    <n v="3016"/>
    <s v="US"/>
    <s v="USD"/>
    <n v="1440392400"/>
    <n v="1440824400"/>
    <b v="0"/>
    <b v="0"/>
    <s v="music/metal"/>
    <n v="508.38857142857148"/>
    <n v="58.9973474801061"/>
    <x v="1"/>
    <s v="metal"/>
    <x v="335"/>
    <d v="1974-07-26T14:54:00"/>
  </r>
  <r>
    <n v="655"/>
    <s v="Gonzalez, Williams and Benson"/>
    <s v="Multi-layered bottom-line encryption"/>
    <n v="6900"/>
    <n v="13212"/>
    <x v="1"/>
    <n v="264"/>
    <s v="US"/>
    <s v="USD"/>
    <n v="1488434400"/>
    <n v="1489554000"/>
    <b v="1"/>
    <b v="0"/>
    <s v="photography/photography books"/>
    <n v="191.47826086956522"/>
    <n v="50.045454545454547"/>
    <x v="7"/>
    <s v="photography books"/>
    <x v="603"/>
    <d v="1974-09-21T00:30:00"/>
  </r>
  <r>
    <n v="656"/>
    <s v="Hobbs, Brown and Lee"/>
    <s v="Vision-oriented systematic Graphical User Interface"/>
    <n v="118400"/>
    <n v="49879"/>
    <x v="0"/>
    <n v="504"/>
    <s v="AU"/>
    <s v="AUD"/>
    <n v="1514440800"/>
    <n v="1514872800"/>
    <b v="0"/>
    <b v="0"/>
    <s v="food/food trucks"/>
    <n v="42.127533783783782"/>
    <n v="98.966269841269835"/>
    <x v="0"/>
    <s v="food trucks"/>
    <x v="604"/>
    <d v="1974-10-20T07:48:00"/>
  </r>
  <r>
    <n v="657"/>
    <s v="Russo, Kim and Mccoy"/>
    <s v="Balanced optimal hardware"/>
    <n v="10000"/>
    <n v="824"/>
    <x v="0"/>
    <n v="14"/>
    <s v="US"/>
    <s v="USD"/>
    <n v="1514354400"/>
    <n v="1515736800"/>
    <b v="0"/>
    <b v="0"/>
    <s v="film &amp; video/science fiction"/>
    <n v="8.24"/>
    <n v="58.857142857142854"/>
    <x v="4"/>
    <s v="science fiction"/>
    <x v="605"/>
    <d v="1974-10-21T07:48:00"/>
  </r>
  <r>
    <n v="658"/>
    <s v="Howell, Myers and Olson"/>
    <s v="Self-enabling mission-critical success"/>
    <n v="52600"/>
    <n v="31594"/>
    <x v="3"/>
    <n v="390"/>
    <s v="US"/>
    <s v="USD"/>
    <n v="1440910800"/>
    <n v="1442898000"/>
    <b v="0"/>
    <b v="0"/>
    <s v="music/rock"/>
    <n v="60.064638783269963"/>
    <n v="81.010256410256417"/>
    <x v="1"/>
    <s v="rock"/>
    <x v="606"/>
    <d v="1974-07-29T00:30:00"/>
  </r>
  <r>
    <n v="659"/>
    <s v="Bailey and Sons"/>
    <s v="Grass-roots dynamic emulation"/>
    <n v="120700"/>
    <n v="57010"/>
    <x v="0"/>
    <n v="750"/>
    <s v="GB"/>
    <s v="GBP"/>
    <n v="1296108000"/>
    <n v="1296194400"/>
    <b v="0"/>
    <b v="0"/>
    <s v="film &amp; video/documentary"/>
    <n v="47.232808616404313"/>
    <n v="76.013333333333335"/>
    <x v="4"/>
    <s v="documentary"/>
    <x v="65"/>
    <d v="1974-02-09T05:24:00"/>
  </r>
  <r>
    <n v="660"/>
    <s v="Jensen-Brown"/>
    <s v="Fundamental disintermediate matrix"/>
    <n v="9100"/>
    <n v="7438"/>
    <x v="0"/>
    <n v="77"/>
    <s v="US"/>
    <s v="USD"/>
    <n v="1440133200"/>
    <n v="1440910800"/>
    <b v="1"/>
    <b v="0"/>
    <s v="theater/plays"/>
    <n v="81.736263736263737"/>
    <n v="96.597402597402592"/>
    <x v="3"/>
    <s v="plays"/>
    <x v="607"/>
    <d v="1974-07-26T17:18:00"/>
  </r>
  <r>
    <n v="661"/>
    <s v="Smith Group"/>
    <s v="Right-sized secondary challenge"/>
    <n v="106800"/>
    <n v="57872"/>
    <x v="0"/>
    <n v="752"/>
    <s v="DK"/>
    <s v="DKK"/>
    <n v="1332910800"/>
    <n v="1335502800"/>
    <b v="0"/>
    <b v="0"/>
    <s v="music/jazz"/>
    <n v="54.187265917603"/>
    <n v="76.957446808510639"/>
    <x v="1"/>
    <s v="jazz"/>
    <x v="608"/>
    <d v="1974-03-26T17:18:00"/>
  </r>
  <r>
    <n v="662"/>
    <s v="Murphy-Farrell"/>
    <s v="Implemented exuding software"/>
    <n v="9100"/>
    <n v="8906"/>
    <x v="0"/>
    <n v="131"/>
    <s v="US"/>
    <s v="USD"/>
    <n v="1544335200"/>
    <n v="1544680800"/>
    <b v="0"/>
    <b v="0"/>
    <s v="theater/plays"/>
    <n v="97.868131868131869"/>
    <n v="67.984732824427482"/>
    <x v="3"/>
    <s v="plays"/>
    <x v="609"/>
    <d v="1974-11-23T19:48:00"/>
  </r>
  <r>
    <n v="663"/>
    <s v="Everett-Wolfe"/>
    <s v="Total optimizing software"/>
    <n v="10000"/>
    <n v="7724"/>
    <x v="0"/>
    <n v="87"/>
    <s v="US"/>
    <s v="USD"/>
    <n v="1286427600"/>
    <n v="1288414800"/>
    <b v="0"/>
    <b v="0"/>
    <s v="theater/plays"/>
    <n v="77.239999999999995"/>
    <n v="88.781609195402297"/>
    <x v="3"/>
    <s v="plays"/>
    <x v="610"/>
    <d v="1974-01-31T05:18:00"/>
  </r>
  <r>
    <n v="664"/>
    <s v="Young PLC"/>
    <s v="Optional maximized attitude"/>
    <n v="79400"/>
    <n v="26571"/>
    <x v="0"/>
    <n v="1063"/>
    <s v="US"/>
    <s v="USD"/>
    <n v="1329717600"/>
    <n v="1330581600"/>
    <b v="0"/>
    <b v="0"/>
    <s v="music/jazz"/>
    <n v="33.464735516372798"/>
    <n v="24.99623706491063"/>
    <x v="1"/>
    <s v="jazz"/>
    <x v="541"/>
    <d v="1974-03-21T00:36:00"/>
  </r>
  <r>
    <n v="665"/>
    <s v="Park-Goodman"/>
    <s v="Customer-focused impactful extranet"/>
    <n v="5100"/>
    <n v="12219"/>
    <x v="1"/>
    <n v="272"/>
    <s v="US"/>
    <s v="USD"/>
    <n v="1310187600"/>
    <n v="1311397200"/>
    <b v="0"/>
    <b v="1"/>
    <s v="film &amp; video/documentary"/>
    <n v="239.58823529411765"/>
    <n v="44.922794117647058"/>
    <x v="4"/>
    <s v="documentary"/>
    <x v="611"/>
    <d v="1974-02-26T19:42:00"/>
  </r>
  <r>
    <n v="666"/>
    <s v="York, Barr and Grant"/>
    <s v="Cloned bottom-line success"/>
    <n v="3100"/>
    <n v="1985"/>
    <x v="3"/>
    <n v="25"/>
    <s v="US"/>
    <s v="USD"/>
    <n v="1377838800"/>
    <n v="1378357200"/>
    <b v="0"/>
    <b v="1"/>
    <s v="theater/plays"/>
    <n v="64.032258064516128"/>
    <n v="79.400000000000006"/>
    <x v="3"/>
    <s v="plays"/>
    <x v="612"/>
    <d v="1974-05-15T07:42:00"/>
  </r>
  <r>
    <n v="667"/>
    <s v="Little Ltd"/>
    <s v="Decentralized bandwidth-monitored ability"/>
    <n v="6900"/>
    <n v="12155"/>
    <x v="1"/>
    <n v="419"/>
    <s v="US"/>
    <s v="USD"/>
    <n v="1410325200"/>
    <n v="1411102800"/>
    <b v="0"/>
    <b v="0"/>
    <s v="journalism/audio"/>
    <n v="176.15942028985506"/>
    <n v="29.009546539379475"/>
    <x v="8"/>
    <s v="audio"/>
    <x v="613"/>
    <d v="1974-06-22T05:18:00"/>
  </r>
  <r>
    <n v="668"/>
    <s v="Brown and Sons"/>
    <s v="Programmable leadingedge budgetary management"/>
    <n v="27500"/>
    <n v="5593"/>
    <x v="0"/>
    <n v="76"/>
    <s v="US"/>
    <s v="USD"/>
    <n v="1343797200"/>
    <n v="1344834000"/>
    <b v="0"/>
    <b v="0"/>
    <s v="theater/plays"/>
    <n v="20.33818181818182"/>
    <n v="73.59210526315789"/>
    <x v="3"/>
    <s v="plays"/>
    <x v="614"/>
    <d v="1974-04-06T12:30:00"/>
  </r>
  <r>
    <n v="669"/>
    <s v="Payne, Garrett and Thomas"/>
    <s v="Upgradable bi-directional concept"/>
    <n v="48800"/>
    <n v="175020"/>
    <x v="1"/>
    <n v="1621"/>
    <s v="IT"/>
    <s v="EUR"/>
    <n v="1498453200"/>
    <n v="1499230800"/>
    <b v="0"/>
    <b v="0"/>
    <s v="theater/plays"/>
    <n v="358.64754098360658"/>
    <n v="107.97038864898211"/>
    <x v="3"/>
    <s v="plays"/>
    <x v="615"/>
    <d v="1974-10-02T05:18:00"/>
  </r>
  <r>
    <n v="670"/>
    <s v="Robinson Group"/>
    <s v="Re-contextualized homogeneous flexibility"/>
    <n v="16200"/>
    <n v="75955"/>
    <x v="1"/>
    <n v="1101"/>
    <s v="US"/>
    <s v="USD"/>
    <n v="1456380000"/>
    <n v="1457416800"/>
    <b v="0"/>
    <b v="0"/>
    <s v="music/indie rock"/>
    <n v="468.85802469135803"/>
    <n v="68.987284287011803"/>
    <x v="1"/>
    <s v="indie rock"/>
    <x v="90"/>
    <d v="1974-08-14T19:48:00"/>
  </r>
  <r>
    <n v="671"/>
    <s v="Robinson-Kelly"/>
    <s v="Monitored bi-directional standardization"/>
    <n v="97600"/>
    <n v="119127"/>
    <x v="1"/>
    <n v="1073"/>
    <s v="US"/>
    <s v="USD"/>
    <n v="1280552400"/>
    <n v="1280898000"/>
    <b v="0"/>
    <b v="1"/>
    <s v="theater/plays"/>
    <n v="122.05635245901641"/>
    <n v="111.02236719478098"/>
    <x v="3"/>
    <s v="plays"/>
    <x v="616"/>
    <d v="1974-01-22T12:30:00"/>
  </r>
  <r>
    <n v="672"/>
    <s v="Kelly-Colon"/>
    <s v="Stand-alone grid-enabled leverage"/>
    <n v="197900"/>
    <n v="110689"/>
    <x v="0"/>
    <n v="4428"/>
    <s v="AU"/>
    <s v="AUD"/>
    <n v="1521608400"/>
    <n v="1522472400"/>
    <b v="0"/>
    <b v="0"/>
    <s v="theater/plays"/>
    <n v="55.931783729156137"/>
    <n v="24.997515808491418"/>
    <x v="3"/>
    <s v="plays"/>
    <x v="617"/>
    <d v="1974-10-29T02:54:00"/>
  </r>
  <r>
    <n v="673"/>
    <s v="Turner, Scott and Gentry"/>
    <s v="Assimilated regional groupware"/>
    <n v="5600"/>
    <n v="2445"/>
    <x v="0"/>
    <n v="58"/>
    <s v="IT"/>
    <s v="EUR"/>
    <n v="1460696400"/>
    <n v="1462510800"/>
    <b v="0"/>
    <b v="0"/>
    <s v="music/indie rock"/>
    <n v="43.660714285714285"/>
    <n v="42.155172413793103"/>
    <x v="1"/>
    <s v="indie rock"/>
    <x v="618"/>
    <d v="1974-08-20T17:18:00"/>
  </r>
  <r>
    <n v="674"/>
    <s v="Sanchez Ltd"/>
    <s v="Up-sized 24hour instruction set"/>
    <n v="170700"/>
    <n v="57250"/>
    <x v="3"/>
    <n v="1218"/>
    <s v="US"/>
    <s v="USD"/>
    <n v="1313730000"/>
    <n v="1317790800"/>
    <b v="0"/>
    <b v="0"/>
    <s v="photography/photography books"/>
    <n v="33.53837141183363"/>
    <n v="47.003284072249592"/>
    <x v="7"/>
    <s v="photography books"/>
    <x v="619"/>
    <d v="1974-03-06T05:18:00"/>
  </r>
  <r>
    <n v="675"/>
    <s v="Giles-Smith"/>
    <s v="Right-sized web-enabled intranet"/>
    <n v="9700"/>
    <n v="11929"/>
    <x v="1"/>
    <n v="331"/>
    <s v="US"/>
    <s v="USD"/>
    <n v="1568178000"/>
    <n v="1568782800"/>
    <b v="0"/>
    <b v="0"/>
    <s v="journalism/audio"/>
    <n v="122.97938144329896"/>
    <n v="36.0392749244713"/>
    <x v="8"/>
    <s v="audio"/>
    <x v="620"/>
    <d v="1974-12-21T17:18:00"/>
  </r>
  <r>
    <n v="676"/>
    <s v="Thompson-Moreno"/>
    <s v="Expanded needs-based orchestration"/>
    <n v="62300"/>
    <n v="118214"/>
    <x v="1"/>
    <n v="1170"/>
    <s v="US"/>
    <s v="USD"/>
    <n v="1348635600"/>
    <n v="1349413200"/>
    <b v="0"/>
    <b v="0"/>
    <s v="photography/photography books"/>
    <n v="189.74959871589084"/>
    <n v="101.03760683760684"/>
    <x v="7"/>
    <s v="photography books"/>
    <x v="621"/>
    <d v="1974-04-11T19:42:00"/>
  </r>
  <r>
    <n v="677"/>
    <s v="Murphy-Fox"/>
    <s v="Organic system-worthy orchestration"/>
    <n v="5300"/>
    <n v="4432"/>
    <x v="0"/>
    <n v="111"/>
    <s v="US"/>
    <s v="USD"/>
    <n v="1468126800"/>
    <n v="1472446800"/>
    <b v="0"/>
    <b v="0"/>
    <s v="publishing/fiction"/>
    <n v="83.622641509433961"/>
    <n v="39.927927927927925"/>
    <x v="5"/>
    <s v="fiction"/>
    <x v="622"/>
    <d v="1974-09-01T05:18:00"/>
  </r>
  <r>
    <n v="678"/>
    <s v="Rodriguez-Patterson"/>
    <s v="Inverse static standardization"/>
    <n v="99500"/>
    <n v="17879"/>
    <x v="3"/>
    <n v="215"/>
    <s v="US"/>
    <s v="USD"/>
    <n v="1547877600"/>
    <n v="1548050400"/>
    <b v="0"/>
    <b v="0"/>
    <s v="film &amp; video/drama"/>
    <n v="17.968844221105527"/>
    <n v="83.158139534883716"/>
    <x v="4"/>
    <s v="drama"/>
    <x v="35"/>
    <d v="1974-11-27T17:24:00"/>
  </r>
  <r>
    <n v="679"/>
    <s v="Davis Ltd"/>
    <s v="Synchronized motivating solution"/>
    <n v="1400"/>
    <n v="14511"/>
    <x v="1"/>
    <n v="363"/>
    <s v="US"/>
    <s v="USD"/>
    <n v="1571374800"/>
    <n v="1571806800"/>
    <b v="0"/>
    <b v="1"/>
    <s v="food/food trucks"/>
    <n v="1036.5"/>
    <n v="39.97520661157025"/>
    <x v="0"/>
    <s v="food trucks"/>
    <x v="623"/>
    <d v="1974-12-25T05:18:00"/>
  </r>
  <r>
    <n v="680"/>
    <s v="Nelson-Valdez"/>
    <s v="Open-source 4thgeneration open system"/>
    <n v="145600"/>
    <n v="141822"/>
    <x v="0"/>
    <n v="2955"/>
    <s v="US"/>
    <s v="USD"/>
    <n v="1576303200"/>
    <n v="1576476000"/>
    <b v="0"/>
    <b v="1"/>
    <s v="games/mobile games"/>
    <n v="97.405219780219781"/>
    <n v="47.993908629441627"/>
    <x v="6"/>
    <s v="mobile games"/>
    <x v="624"/>
    <d v="1974-12-30T15:00:00"/>
  </r>
  <r>
    <n v="681"/>
    <s v="Kelly PLC"/>
    <s v="Decentralized context-sensitive superstructure"/>
    <n v="184100"/>
    <n v="159037"/>
    <x v="0"/>
    <n v="1657"/>
    <s v="US"/>
    <s v="USD"/>
    <n v="1324447200"/>
    <n v="1324965600"/>
    <b v="0"/>
    <b v="0"/>
    <s v="theater/plays"/>
    <n v="86.386203150461711"/>
    <n v="95.978877489438744"/>
    <x v="3"/>
    <s v="plays"/>
    <x v="625"/>
    <d v="1974-03-14T12:36:00"/>
  </r>
  <r>
    <n v="682"/>
    <s v="Nguyen and Sons"/>
    <s v="Compatible 5thgeneration concept"/>
    <n v="5400"/>
    <n v="8109"/>
    <x v="1"/>
    <n v="103"/>
    <s v="US"/>
    <s v="USD"/>
    <n v="1386741600"/>
    <n v="1387519200"/>
    <b v="0"/>
    <b v="0"/>
    <s v="theater/plays"/>
    <n v="150.16666666666666"/>
    <n v="78.728155339805824"/>
    <x v="3"/>
    <s v="plays"/>
    <x v="626"/>
    <d v="1974-05-25T22:12:00"/>
  </r>
  <r>
    <n v="683"/>
    <s v="Jones PLC"/>
    <s v="Virtual systemic intranet"/>
    <n v="2300"/>
    <n v="8244"/>
    <x v="1"/>
    <n v="147"/>
    <s v="US"/>
    <s v="USD"/>
    <n v="1537074000"/>
    <n v="1537246800"/>
    <b v="0"/>
    <b v="0"/>
    <s v="theater/plays"/>
    <n v="358.43478260869563"/>
    <n v="56.081632653061227"/>
    <x v="3"/>
    <s v="plays"/>
    <x v="627"/>
    <d v="1974-11-15T05:18:00"/>
  </r>
  <r>
    <n v="684"/>
    <s v="Gilmore LLC"/>
    <s v="Optimized systemic algorithm"/>
    <n v="1400"/>
    <n v="7600"/>
    <x v="1"/>
    <n v="110"/>
    <s v="CA"/>
    <s v="CAD"/>
    <n v="1277787600"/>
    <n v="1279515600"/>
    <b v="0"/>
    <b v="0"/>
    <s v="publishing/nonfiction"/>
    <n v="542.85714285714289"/>
    <n v="69.090909090909093"/>
    <x v="5"/>
    <s v="nonfiction"/>
    <x v="628"/>
    <d v="1974-01-20T22:06:00"/>
  </r>
  <r>
    <n v="685"/>
    <s v="Lee-Cobb"/>
    <s v="Customizable homogeneous firmware"/>
    <n v="140000"/>
    <n v="94501"/>
    <x v="0"/>
    <n v="926"/>
    <s v="CA"/>
    <s v="CAD"/>
    <n v="1440306000"/>
    <n v="1442379600"/>
    <b v="0"/>
    <b v="0"/>
    <s v="theater/plays"/>
    <n v="67.500714285714281"/>
    <n v="102.05291576673866"/>
    <x v="3"/>
    <s v="plays"/>
    <x v="629"/>
    <d v="1974-07-28T10:06:00"/>
  </r>
  <r>
    <n v="686"/>
    <s v="Jones, Wiley and Robbins"/>
    <s v="Front-line cohesive extranet"/>
    <n v="7500"/>
    <n v="14381"/>
    <x v="1"/>
    <n v="134"/>
    <s v="US"/>
    <s v="USD"/>
    <n v="1522126800"/>
    <n v="1523077200"/>
    <b v="0"/>
    <b v="0"/>
    <s v="technology/wearables"/>
    <n v="191.74666666666667"/>
    <n v="107.32089552238806"/>
    <x v="2"/>
    <s v="wearables"/>
    <x v="630"/>
    <d v="1974-10-29T19:42:00"/>
  </r>
  <r>
    <n v="687"/>
    <s v="Martin, Gates and Holt"/>
    <s v="Distributed holistic neural-net"/>
    <n v="1500"/>
    <n v="13980"/>
    <x v="1"/>
    <n v="269"/>
    <s v="US"/>
    <s v="USD"/>
    <n v="1489298400"/>
    <n v="1489554000"/>
    <b v="0"/>
    <b v="0"/>
    <s v="theater/plays"/>
    <n v="932"/>
    <n v="51.970260223048328"/>
    <x v="3"/>
    <s v="plays"/>
    <x v="631"/>
    <d v="1974-09-21T00:30:00"/>
  </r>
  <r>
    <n v="688"/>
    <s v="Bowen, Davies and Burns"/>
    <s v="Devolved client-server monitoring"/>
    <n v="2900"/>
    <n v="12449"/>
    <x v="1"/>
    <n v="175"/>
    <s v="US"/>
    <s v="USD"/>
    <n v="1547100000"/>
    <n v="1548482400"/>
    <b v="0"/>
    <b v="1"/>
    <s v="film &amp; video/television"/>
    <n v="429.27586206896552"/>
    <n v="71.137142857142862"/>
    <x v="4"/>
    <s v="television"/>
    <x v="632"/>
    <d v="1974-11-28T05:24:00"/>
  </r>
  <r>
    <n v="689"/>
    <s v="Nguyen Inc"/>
    <s v="Seamless directional capacity"/>
    <n v="7300"/>
    <n v="7348"/>
    <x v="1"/>
    <n v="69"/>
    <s v="US"/>
    <s v="USD"/>
    <n v="1383022800"/>
    <n v="1384063200"/>
    <b v="0"/>
    <b v="0"/>
    <s v="technology/web"/>
    <n v="100.65753424657535"/>
    <n v="106.49275362318841"/>
    <x v="2"/>
    <s v="web"/>
    <x v="633"/>
    <d v="1974-05-21T22:12:00"/>
  </r>
  <r>
    <n v="690"/>
    <s v="Walsh-Watts"/>
    <s v="Polarized actuating implementation"/>
    <n v="3600"/>
    <n v="8158"/>
    <x v="1"/>
    <n v="190"/>
    <s v="US"/>
    <s v="USD"/>
    <n v="1322373600"/>
    <n v="1322892000"/>
    <b v="0"/>
    <b v="1"/>
    <s v="film &amp; video/documentary"/>
    <n v="226.61111111111109"/>
    <n v="42.93684210526316"/>
    <x v="4"/>
    <s v="documentary"/>
    <x v="634"/>
    <d v="1974-03-12T03:00:00"/>
  </r>
  <r>
    <n v="691"/>
    <s v="Ray, Li and Li"/>
    <s v="Front-line disintermediate hub"/>
    <n v="5000"/>
    <n v="7119"/>
    <x v="1"/>
    <n v="237"/>
    <s v="US"/>
    <s v="USD"/>
    <n v="1349240400"/>
    <n v="1350709200"/>
    <b v="1"/>
    <b v="1"/>
    <s v="film &amp; video/documentary"/>
    <n v="142.38"/>
    <n v="30.037974683544302"/>
    <x v="4"/>
    <s v="documentary"/>
    <x v="635"/>
    <d v="1974-04-13T07:42:00"/>
  </r>
  <r>
    <n v="692"/>
    <s v="Murray Ltd"/>
    <s v="Decentralized 4thgeneration challenge"/>
    <n v="6000"/>
    <n v="5438"/>
    <x v="0"/>
    <n v="77"/>
    <s v="GB"/>
    <s v="GBP"/>
    <n v="1562648400"/>
    <n v="1564203600"/>
    <b v="0"/>
    <b v="0"/>
    <s v="music/rock"/>
    <n v="90.633333333333326"/>
    <n v="70.623376623376629"/>
    <x v="1"/>
    <s v="rock"/>
    <x v="636"/>
    <d v="1974-12-16T10:06:00"/>
  </r>
  <r>
    <n v="693"/>
    <s v="Bradford-Silva"/>
    <s v="Reverse-engineered composite hierarchy"/>
    <n v="180400"/>
    <n v="115396"/>
    <x v="0"/>
    <n v="1748"/>
    <s v="US"/>
    <s v="USD"/>
    <n v="1508216400"/>
    <n v="1509685200"/>
    <b v="0"/>
    <b v="0"/>
    <s v="theater/plays"/>
    <n v="63.966740576496676"/>
    <n v="66.016018306636155"/>
    <x v="3"/>
    <s v="plays"/>
    <x v="637"/>
    <d v="1974-10-14T07:42:00"/>
  </r>
  <r>
    <n v="694"/>
    <s v="Mora-Bradley"/>
    <s v="Programmable tangible ability"/>
    <n v="9100"/>
    <n v="7656"/>
    <x v="0"/>
    <n v="79"/>
    <s v="US"/>
    <s v="USD"/>
    <n v="1511762400"/>
    <n v="1514959200"/>
    <b v="0"/>
    <b v="0"/>
    <s v="theater/plays"/>
    <n v="84.131868131868131"/>
    <n v="96.911392405063296"/>
    <x v="3"/>
    <s v="plays"/>
    <x v="638"/>
    <d v="1974-10-20T10:12:00"/>
  </r>
  <r>
    <n v="695"/>
    <s v="Cardenas, Thompson and Carey"/>
    <s v="Configurable full-range emulation"/>
    <n v="9200"/>
    <n v="12322"/>
    <x v="1"/>
    <n v="196"/>
    <s v="IT"/>
    <s v="EUR"/>
    <n v="1447480800"/>
    <n v="1448863200"/>
    <b v="1"/>
    <b v="0"/>
    <s v="music/rock"/>
    <n v="133.93478260869566"/>
    <n v="62.867346938775512"/>
    <x v="1"/>
    <s v="rock"/>
    <x v="639"/>
    <d v="1974-08-04T22:12:00"/>
  </r>
  <r>
    <n v="696"/>
    <s v="Lopez, Reid and Johnson"/>
    <s v="Total real-time hardware"/>
    <n v="164100"/>
    <n v="96888"/>
    <x v="0"/>
    <n v="889"/>
    <s v="US"/>
    <s v="USD"/>
    <n v="1429506000"/>
    <n v="1429592400"/>
    <b v="0"/>
    <b v="1"/>
    <s v="theater/plays"/>
    <n v="59.042047531992694"/>
    <n v="108.98537682789652"/>
    <x v="3"/>
    <s v="plays"/>
    <x v="640"/>
    <d v="1974-07-13T14:54:00"/>
  </r>
  <r>
    <n v="697"/>
    <s v="Fox-Williams"/>
    <s v="Profound system-worthy functionalities"/>
    <n v="128900"/>
    <n v="196960"/>
    <x v="1"/>
    <n v="7295"/>
    <s v="US"/>
    <s v="USD"/>
    <n v="1522472400"/>
    <n v="1522645200"/>
    <b v="0"/>
    <b v="0"/>
    <s v="music/electric music"/>
    <n v="152.80062063615205"/>
    <n v="26.999314599040439"/>
    <x v="1"/>
    <s v="electric music"/>
    <x v="641"/>
    <d v="1974-10-29T07:42:00"/>
  </r>
  <r>
    <n v="698"/>
    <s v="Taylor, Wood and Taylor"/>
    <s v="Cloned hybrid focus group"/>
    <n v="42100"/>
    <n v="188057"/>
    <x v="1"/>
    <n v="2893"/>
    <s v="CA"/>
    <s v="CAD"/>
    <n v="1322114400"/>
    <n v="1323324000"/>
    <b v="0"/>
    <b v="0"/>
    <s v="technology/wearables"/>
    <n v="446.69121140142522"/>
    <n v="65.004147943311438"/>
    <x v="2"/>
    <s v="wearables"/>
    <x v="642"/>
    <d v="1974-03-12T15:00:00"/>
  </r>
  <r>
    <n v="699"/>
    <s v="King Inc"/>
    <s v="Ergonomic dedicated focus group"/>
    <n v="7400"/>
    <n v="6245"/>
    <x v="0"/>
    <n v="56"/>
    <s v="US"/>
    <s v="USD"/>
    <n v="1561438800"/>
    <n v="1561525200"/>
    <b v="0"/>
    <b v="0"/>
    <s v="film &amp; video/drama"/>
    <n v="84.391891891891888"/>
    <n v="111.51785714285714"/>
    <x v="4"/>
    <s v="drama"/>
    <x v="230"/>
    <d v="1974-12-13T07:42:00"/>
  </r>
  <r>
    <n v="700"/>
    <s v="Cole, Petty and Cameron"/>
    <s v="Realigned zero administration paradigm"/>
    <n v="100"/>
    <n v="3"/>
    <x v="0"/>
    <n v="1"/>
    <s v="US"/>
    <s v="USD"/>
    <n v="1264399200"/>
    <n v="1265695200"/>
    <b v="0"/>
    <b v="0"/>
    <s v="technology/wearables"/>
    <n v="3"/>
    <n v="3"/>
    <x v="2"/>
    <s v="wearables"/>
    <x v="67"/>
    <d v="1974-01-04T22:12:00"/>
  </r>
  <r>
    <n v="701"/>
    <s v="Mcclain LLC"/>
    <s v="Open-source multi-tasking methodology"/>
    <n v="52000"/>
    <n v="91014"/>
    <x v="1"/>
    <n v="820"/>
    <s v="US"/>
    <s v="USD"/>
    <n v="1301202000"/>
    <n v="1301806800"/>
    <b v="1"/>
    <b v="0"/>
    <s v="theater/plays"/>
    <n v="175.02692307692308"/>
    <n v="110.99268292682927"/>
    <x v="3"/>
    <s v="plays"/>
    <x v="643"/>
    <d v="1974-02-15T17:18:00"/>
  </r>
  <r>
    <n v="702"/>
    <s v="Sims-Gross"/>
    <s v="Object-based attitude-oriented analyzer"/>
    <n v="8700"/>
    <n v="4710"/>
    <x v="0"/>
    <n v="83"/>
    <s v="US"/>
    <s v="USD"/>
    <n v="1374469200"/>
    <n v="1374901200"/>
    <b v="0"/>
    <b v="0"/>
    <s v="technology/wearables"/>
    <n v="54.137931034482754"/>
    <n v="56.746987951807228"/>
    <x v="2"/>
    <s v="wearables"/>
    <x v="644"/>
    <d v="1974-05-11T07:42:00"/>
  </r>
  <r>
    <n v="703"/>
    <s v="Perez Group"/>
    <s v="Cross-platform tertiary hub"/>
    <n v="63400"/>
    <n v="197728"/>
    <x v="1"/>
    <n v="2038"/>
    <s v="US"/>
    <s v="USD"/>
    <n v="1334984400"/>
    <n v="1336453200"/>
    <b v="1"/>
    <b v="1"/>
    <s v="publishing/translations"/>
    <n v="311.87381703470032"/>
    <n v="97.020608439646708"/>
    <x v="5"/>
    <s v="translations"/>
    <x v="645"/>
    <d v="1974-03-27T19:42:00"/>
  </r>
  <r>
    <n v="704"/>
    <s v="Haynes-Williams"/>
    <s v="Seamless clear-thinking artificial intelligence"/>
    <n v="8700"/>
    <n v="10682"/>
    <x v="1"/>
    <n v="116"/>
    <s v="US"/>
    <s v="USD"/>
    <n v="1467608400"/>
    <n v="1468904400"/>
    <b v="0"/>
    <b v="0"/>
    <s v="film &amp; video/animation"/>
    <n v="122.78160919540231"/>
    <n v="92.08620689655173"/>
    <x v="4"/>
    <s v="animation"/>
    <x v="646"/>
    <d v="1974-08-28T02:54:00"/>
  </r>
  <r>
    <n v="705"/>
    <s v="Ford LLC"/>
    <s v="Centralized tangible success"/>
    <n v="169700"/>
    <n v="168048"/>
    <x v="0"/>
    <n v="2025"/>
    <s v="GB"/>
    <s v="GBP"/>
    <n v="1386741600"/>
    <n v="1387087200"/>
    <b v="0"/>
    <b v="0"/>
    <s v="publishing/nonfiction"/>
    <n v="99.026517383618156"/>
    <n v="82.986666666666665"/>
    <x v="5"/>
    <s v="nonfiction"/>
    <x v="626"/>
    <d v="1974-05-25T10:12:00"/>
  </r>
  <r>
    <n v="706"/>
    <s v="Moreno Ltd"/>
    <s v="Customer-focused multimedia methodology"/>
    <n v="108400"/>
    <n v="138586"/>
    <x v="1"/>
    <n v="1345"/>
    <s v="AU"/>
    <s v="AUD"/>
    <n v="1546754400"/>
    <n v="1547445600"/>
    <b v="0"/>
    <b v="1"/>
    <s v="technology/web"/>
    <n v="127.84686346863469"/>
    <n v="103.03791821561339"/>
    <x v="2"/>
    <s v="web"/>
    <x v="647"/>
    <d v="1974-11-27T00:36:00"/>
  </r>
  <r>
    <n v="707"/>
    <s v="Moore, Cook and Wright"/>
    <s v="Visionary maximized Local Area Network"/>
    <n v="7300"/>
    <n v="11579"/>
    <x v="1"/>
    <n v="168"/>
    <s v="US"/>
    <s v="USD"/>
    <n v="1544248800"/>
    <n v="1547359200"/>
    <b v="0"/>
    <b v="0"/>
    <s v="film &amp; video/drama"/>
    <n v="158.61643835616439"/>
    <n v="68.922619047619051"/>
    <x v="4"/>
    <s v="drama"/>
    <x v="159"/>
    <d v="1974-11-26T22:12:00"/>
  </r>
  <r>
    <n v="708"/>
    <s v="Ortega LLC"/>
    <s v="Secured bifurcated intranet"/>
    <n v="1700"/>
    <n v="12020"/>
    <x v="1"/>
    <n v="137"/>
    <s v="CH"/>
    <s v="CHF"/>
    <n v="1495429200"/>
    <n v="1496293200"/>
    <b v="0"/>
    <b v="0"/>
    <s v="theater/plays"/>
    <n v="707.05882352941171"/>
    <n v="87.737226277372258"/>
    <x v="3"/>
    <s v="plays"/>
    <x v="648"/>
    <d v="1974-09-28T19:42:00"/>
  </r>
  <r>
    <n v="709"/>
    <s v="Silva, Walker and Martin"/>
    <s v="Grass-roots 4thgeneration product"/>
    <n v="9800"/>
    <n v="13954"/>
    <x v="1"/>
    <n v="186"/>
    <s v="IT"/>
    <s v="EUR"/>
    <n v="1334811600"/>
    <n v="1335416400"/>
    <b v="0"/>
    <b v="0"/>
    <s v="theater/plays"/>
    <n v="142.38775510204081"/>
    <n v="75.021505376344081"/>
    <x v="3"/>
    <s v="plays"/>
    <x v="267"/>
    <d v="1974-03-26T14:54:00"/>
  </r>
  <r>
    <n v="710"/>
    <s v="Huynh, Gallegos and Mills"/>
    <s v="Reduced next generation info-mediaries"/>
    <n v="4300"/>
    <n v="6358"/>
    <x v="1"/>
    <n v="125"/>
    <s v="US"/>
    <s v="USD"/>
    <n v="1531544400"/>
    <n v="1532149200"/>
    <b v="0"/>
    <b v="1"/>
    <s v="theater/plays"/>
    <n v="147.86046511627907"/>
    <n v="50.863999999999997"/>
    <x v="3"/>
    <s v="plays"/>
    <x v="649"/>
    <d v="1974-11-09T07:42:00"/>
  </r>
  <r>
    <n v="711"/>
    <s v="Anderson LLC"/>
    <s v="Customizable full-range artificial intelligence"/>
    <n v="6200"/>
    <n v="1260"/>
    <x v="0"/>
    <n v="14"/>
    <s v="IT"/>
    <s v="EUR"/>
    <n v="1453615200"/>
    <n v="1453788000"/>
    <b v="1"/>
    <b v="1"/>
    <s v="theater/plays"/>
    <n v="20.322580645161288"/>
    <n v="90"/>
    <x v="3"/>
    <s v="plays"/>
    <x v="248"/>
    <d v="1974-08-10T15:00:00"/>
  </r>
  <r>
    <n v="712"/>
    <s v="Garza-Bryant"/>
    <s v="Programmable leadingedge contingency"/>
    <n v="800"/>
    <n v="14725"/>
    <x v="1"/>
    <n v="202"/>
    <s v="US"/>
    <s v="USD"/>
    <n v="1467954000"/>
    <n v="1471496400"/>
    <b v="0"/>
    <b v="0"/>
    <s v="theater/plays"/>
    <n v="1840.625"/>
    <n v="72.896039603960389"/>
    <x v="3"/>
    <s v="plays"/>
    <x v="571"/>
    <d v="1974-08-31T02:54:00"/>
  </r>
  <r>
    <n v="713"/>
    <s v="Mays LLC"/>
    <s v="Multi-layered global groupware"/>
    <n v="6900"/>
    <n v="11174"/>
    <x v="1"/>
    <n v="103"/>
    <s v="US"/>
    <s v="USD"/>
    <n v="1471842000"/>
    <n v="1472878800"/>
    <b v="0"/>
    <b v="0"/>
    <s v="publishing/radio &amp; podcasts"/>
    <n v="161.94202898550725"/>
    <n v="108.48543689320388"/>
    <x v="5"/>
    <s v="radio &amp; podcasts"/>
    <x v="650"/>
    <d v="1974-09-01T17:18:00"/>
  </r>
  <r>
    <n v="714"/>
    <s v="Evans-Jones"/>
    <s v="Switchable methodical superstructure"/>
    <n v="38500"/>
    <n v="182036"/>
    <x v="1"/>
    <n v="1785"/>
    <s v="US"/>
    <s v="USD"/>
    <n v="1408424400"/>
    <n v="1408510800"/>
    <b v="0"/>
    <b v="0"/>
    <s v="music/rock"/>
    <n v="472.82077922077923"/>
    <n v="101.98095238095237"/>
    <x v="1"/>
    <s v="rock"/>
    <x v="1"/>
    <d v="1974-06-19T05:18:00"/>
  </r>
  <r>
    <n v="715"/>
    <s v="Fischer, Torres and Walker"/>
    <s v="Expanded even-keeled portal"/>
    <n v="118000"/>
    <n v="28870"/>
    <x v="0"/>
    <n v="656"/>
    <s v="US"/>
    <s v="USD"/>
    <n v="1281157200"/>
    <n v="1281589200"/>
    <b v="0"/>
    <b v="0"/>
    <s v="games/mobile games"/>
    <n v="24.466101694915253"/>
    <n v="44.009146341463413"/>
    <x v="6"/>
    <s v="mobile games"/>
    <x v="651"/>
    <d v="1974-01-23T07:42:00"/>
  </r>
  <r>
    <n v="716"/>
    <s v="Tapia, Kramer and Hicks"/>
    <s v="Advanced modular moderator"/>
    <n v="2000"/>
    <n v="10353"/>
    <x v="1"/>
    <n v="157"/>
    <s v="US"/>
    <s v="USD"/>
    <n v="1373432400"/>
    <n v="1375851600"/>
    <b v="0"/>
    <b v="1"/>
    <s v="theater/plays"/>
    <n v="517.65"/>
    <n v="65.942675159235662"/>
    <x v="3"/>
    <s v="plays"/>
    <x v="652"/>
    <d v="1974-05-12T10:06:00"/>
  </r>
  <r>
    <n v="717"/>
    <s v="Barnes, Wilcox and Riley"/>
    <s v="Reverse-engineered well-modulated ability"/>
    <n v="5600"/>
    <n v="13868"/>
    <x v="1"/>
    <n v="555"/>
    <s v="US"/>
    <s v="USD"/>
    <n v="1313989200"/>
    <n v="1315803600"/>
    <b v="0"/>
    <b v="0"/>
    <s v="film &amp; video/documentary"/>
    <n v="247.64285714285714"/>
    <n v="24.987387387387386"/>
    <x v="4"/>
    <s v="documentary"/>
    <x v="653"/>
    <d v="1974-03-03T22:06:00"/>
  </r>
  <r>
    <n v="718"/>
    <s v="Reyes PLC"/>
    <s v="Expanded optimal pricing structure"/>
    <n v="8300"/>
    <n v="8317"/>
    <x v="1"/>
    <n v="297"/>
    <s v="US"/>
    <s v="USD"/>
    <n v="1371445200"/>
    <n v="1373691600"/>
    <b v="0"/>
    <b v="0"/>
    <s v="technology/wearables"/>
    <n v="100.20481927710843"/>
    <n v="28.003367003367003"/>
    <x v="2"/>
    <s v="wearables"/>
    <x v="654"/>
    <d v="1974-05-09T22:06:00"/>
  </r>
  <r>
    <n v="719"/>
    <s v="Pace, Simpson and Watkins"/>
    <s v="Down-sized uniform ability"/>
    <n v="6900"/>
    <n v="10557"/>
    <x v="1"/>
    <n v="123"/>
    <s v="US"/>
    <s v="USD"/>
    <n v="1338267600"/>
    <n v="1339218000"/>
    <b v="0"/>
    <b v="0"/>
    <s v="publishing/fiction"/>
    <n v="153"/>
    <n v="85.829268292682926"/>
    <x v="5"/>
    <s v="fiction"/>
    <x v="655"/>
    <d v="1974-03-31T00:30:00"/>
  </r>
  <r>
    <n v="720"/>
    <s v="Valenzuela, Davidson and Castro"/>
    <s v="Multi-layered upward-trending conglomeration"/>
    <n v="8700"/>
    <n v="3227"/>
    <x v="3"/>
    <n v="38"/>
    <s v="DK"/>
    <s v="DKK"/>
    <n v="1519192800"/>
    <n v="1520402400"/>
    <b v="0"/>
    <b v="1"/>
    <s v="theater/plays"/>
    <n v="37.091954022988503"/>
    <n v="84.921052631578945"/>
    <x v="3"/>
    <s v="plays"/>
    <x v="656"/>
    <d v="1974-10-26T17:24:00"/>
  </r>
  <r>
    <n v="721"/>
    <s v="Dominguez-Owens"/>
    <s v="Open-architected systematic intranet"/>
    <n v="123600"/>
    <n v="5429"/>
    <x v="3"/>
    <n v="60"/>
    <s v="US"/>
    <s v="USD"/>
    <n v="1522818000"/>
    <n v="1523336400"/>
    <b v="0"/>
    <b v="0"/>
    <s v="music/rock"/>
    <n v="4.392394822006473"/>
    <n v="90.483333333333334"/>
    <x v="1"/>
    <s v="rock"/>
    <x v="657"/>
    <d v="1974-10-30T02:54:00"/>
  </r>
  <r>
    <n v="722"/>
    <s v="Thomas-Simmons"/>
    <s v="Proactive 24hour frame"/>
    <n v="48500"/>
    <n v="75906"/>
    <x v="1"/>
    <n v="3036"/>
    <s v="US"/>
    <s v="USD"/>
    <n v="1509948000"/>
    <n v="1512280800"/>
    <b v="0"/>
    <b v="0"/>
    <s v="film &amp; video/documentary"/>
    <n v="156.50721649484535"/>
    <n v="25.00197628458498"/>
    <x v="4"/>
    <s v="documentary"/>
    <x v="265"/>
    <d v="1974-10-17T07:48:00"/>
  </r>
  <r>
    <n v="723"/>
    <s v="Beck-Knight"/>
    <s v="Exclusive fresh-thinking model"/>
    <n v="4900"/>
    <n v="13250"/>
    <x v="1"/>
    <n v="144"/>
    <s v="AU"/>
    <s v="AUD"/>
    <n v="1456898400"/>
    <n v="1458709200"/>
    <b v="0"/>
    <b v="0"/>
    <s v="theater/plays"/>
    <n v="270.40816326530609"/>
    <n v="92.013888888888886"/>
    <x v="3"/>
    <s v="plays"/>
    <x v="658"/>
    <d v="1974-08-16T07:42:00"/>
  </r>
  <r>
    <n v="724"/>
    <s v="Mccoy Ltd"/>
    <s v="Business-focused encompassing intranet"/>
    <n v="8400"/>
    <n v="11261"/>
    <x v="1"/>
    <n v="121"/>
    <s v="GB"/>
    <s v="GBP"/>
    <n v="1413954000"/>
    <n v="1414126800"/>
    <b v="0"/>
    <b v="1"/>
    <s v="theater/plays"/>
    <n v="134.05952380952382"/>
    <n v="93.066115702479337"/>
    <x v="3"/>
    <s v="plays"/>
    <x v="659"/>
    <d v="1974-06-25T17:18:00"/>
  </r>
  <r>
    <n v="725"/>
    <s v="Dawson-Tyler"/>
    <s v="Optional 6thgeneration access"/>
    <n v="193200"/>
    <n v="97369"/>
    <x v="0"/>
    <n v="1596"/>
    <s v="US"/>
    <s v="USD"/>
    <n v="1416031200"/>
    <n v="1416204000"/>
    <b v="0"/>
    <b v="0"/>
    <s v="games/mobile games"/>
    <n v="50.398033126293996"/>
    <n v="61.008145363408524"/>
    <x v="6"/>
    <s v="mobile games"/>
    <x v="660"/>
    <d v="1974-06-28T03:00:00"/>
  </r>
  <r>
    <n v="726"/>
    <s v="Johns-Thomas"/>
    <s v="Realigned web-enabled functionalities"/>
    <n v="54300"/>
    <n v="48227"/>
    <x v="3"/>
    <n v="524"/>
    <s v="US"/>
    <s v="USD"/>
    <n v="1287982800"/>
    <n v="1288501200"/>
    <b v="0"/>
    <b v="1"/>
    <s v="theater/plays"/>
    <n v="88.815837937384899"/>
    <n v="92.036259541984734"/>
    <x v="3"/>
    <s v="plays"/>
    <x v="661"/>
    <d v="1974-01-31T07:42:00"/>
  </r>
  <r>
    <n v="727"/>
    <s v="Quinn, Cruz and Schmidt"/>
    <s v="Enterprise-wide multimedia software"/>
    <n v="8900"/>
    <n v="14685"/>
    <x v="1"/>
    <n v="181"/>
    <s v="US"/>
    <s v="USD"/>
    <n v="1547964000"/>
    <n v="1552971600"/>
    <b v="0"/>
    <b v="0"/>
    <s v="technology/web"/>
    <n v="165"/>
    <n v="81.132596685082873"/>
    <x v="2"/>
    <s v="web"/>
    <x v="4"/>
    <d v="1974-12-03T10:06:00"/>
  </r>
  <r>
    <n v="728"/>
    <s v="Stewart Inc"/>
    <s v="Versatile mission-critical knowledgebase"/>
    <n v="4200"/>
    <n v="735"/>
    <x v="0"/>
    <n v="10"/>
    <s v="US"/>
    <s v="USD"/>
    <n v="1464152400"/>
    <n v="1465102800"/>
    <b v="0"/>
    <b v="0"/>
    <s v="theater/plays"/>
    <n v="17.5"/>
    <n v="73.5"/>
    <x v="3"/>
    <s v="plays"/>
    <x v="662"/>
    <d v="1974-08-23T17:18:00"/>
  </r>
  <r>
    <n v="729"/>
    <s v="Moore Group"/>
    <s v="Multi-lateral object-oriented open system"/>
    <n v="5600"/>
    <n v="10397"/>
    <x v="1"/>
    <n v="122"/>
    <s v="US"/>
    <s v="USD"/>
    <n v="1359957600"/>
    <n v="1360130400"/>
    <b v="0"/>
    <b v="0"/>
    <s v="film &amp; video/drama"/>
    <n v="185.66071428571428"/>
    <n v="85.221311475409834"/>
    <x v="4"/>
    <s v="drama"/>
    <x v="663"/>
    <d v="1974-04-24T05:24:00"/>
  </r>
  <r>
    <n v="730"/>
    <s v="Carson PLC"/>
    <s v="Visionary system-worthy attitude"/>
    <n v="28800"/>
    <n v="118847"/>
    <x v="1"/>
    <n v="1071"/>
    <s v="CA"/>
    <s v="CAD"/>
    <n v="1432357200"/>
    <n v="1432875600"/>
    <b v="0"/>
    <b v="0"/>
    <s v="technology/wearables"/>
    <n v="412.6631944444444"/>
    <n v="110.96825396825396"/>
    <x v="2"/>
    <s v="wearables"/>
    <x v="664"/>
    <d v="1974-07-17T10:06:00"/>
  </r>
  <r>
    <n v="731"/>
    <s v="Cruz, Hall and Mason"/>
    <s v="Synergized content-based hierarchy"/>
    <n v="8000"/>
    <n v="7220"/>
    <x v="3"/>
    <n v="219"/>
    <s v="US"/>
    <s v="USD"/>
    <n v="1500786000"/>
    <n v="1500872400"/>
    <b v="0"/>
    <b v="0"/>
    <s v="technology/web"/>
    <n v="90.25"/>
    <n v="32.968036529680369"/>
    <x v="2"/>
    <s v="web"/>
    <x v="665"/>
    <d v="1974-10-04T02:54:00"/>
  </r>
  <r>
    <n v="732"/>
    <s v="Glass, Baker and Jones"/>
    <s v="Business-focused 24hour access"/>
    <n v="117000"/>
    <n v="107622"/>
    <x v="0"/>
    <n v="1121"/>
    <s v="US"/>
    <s v="USD"/>
    <n v="1490158800"/>
    <n v="1492146000"/>
    <b v="0"/>
    <b v="1"/>
    <s v="music/rock"/>
    <n v="91.984615384615381"/>
    <n v="96.005352363960753"/>
    <x v="1"/>
    <s v="rock"/>
    <x v="666"/>
    <d v="1974-09-24T00:30:00"/>
  </r>
  <r>
    <n v="733"/>
    <s v="Marquez-Kerr"/>
    <s v="Automated hybrid orchestration"/>
    <n v="15800"/>
    <n v="83267"/>
    <x v="1"/>
    <n v="980"/>
    <s v="US"/>
    <s v="USD"/>
    <n v="1406178000"/>
    <n v="1407301200"/>
    <b v="0"/>
    <b v="0"/>
    <s v="music/metal"/>
    <n v="527.00632911392404"/>
    <n v="84.96632653061225"/>
    <x v="1"/>
    <s v="metal"/>
    <x v="43"/>
    <d v="1974-06-17T19:42:00"/>
  </r>
  <r>
    <n v="734"/>
    <s v="Stone PLC"/>
    <s v="Exclusive 5thgeneration leverage"/>
    <n v="4200"/>
    <n v="13404"/>
    <x v="1"/>
    <n v="536"/>
    <s v="US"/>
    <s v="USD"/>
    <n v="1485583200"/>
    <n v="1486620000"/>
    <b v="0"/>
    <b v="1"/>
    <s v="theater/plays"/>
    <n v="319.14285714285711"/>
    <n v="25.007462686567163"/>
    <x v="3"/>
    <s v="plays"/>
    <x v="667"/>
    <d v="1974-09-17T15:00:00"/>
  </r>
  <r>
    <n v="735"/>
    <s v="Caldwell PLC"/>
    <s v="Grass-roots zero administration alliance"/>
    <n v="37100"/>
    <n v="131404"/>
    <x v="1"/>
    <n v="1991"/>
    <s v="US"/>
    <s v="USD"/>
    <n v="1459314000"/>
    <n v="1459918800"/>
    <b v="0"/>
    <b v="0"/>
    <s v="photography/photography books"/>
    <n v="354.18867924528303"/>
    <n v="65.998995479658461"/>
    <x v="7"/>
    <s v="photography books"/>
    <x v="668"/>
    <d v="1974-08-17T17:18:00"/>
  </r>
  <r>
    <n v="736"/>
    <s v="Silva-Hawkins"/>
    <s v="Proactive heuristic orchestration"/>
    <n v="7700"/>
    <n v="2533"/>
    <x v="3"/>
    <n v="29"/>
    <s v="US"/>
    <s v="USD"/>
    <n v="1424412000"/>
    <n v="1424757600"/>
    <b v="0"/>
    <b v="0"/>
    <s v="publishing/nonfiction"/>
    <n v="32.896103896103895"/>
    <n v="87.34482758620689"/>
    <x v="5"/>
    <s v="nonfiction"/>
    <x v="669"/>
    <d v="1974-07-08T00:36:00"/>
  </r>
  <r>
    <n v="737"/>
    <s v="Gardner Inc"/>
    <s v="Function-based systematic Graphical User Interface"/>
    <n v="3700"/>
    <n v="5028"/>
    <x v="1"/>
    <n v="180"/>
    <s v="US"/>
    <s v="USD"/>
    <n v="1478844000"/>
    <n v="1479880800"/>
    <b v="0"/>
    <b v="0"/>
    <s v="music/indie rock"/>
    <n v="135.8918918918919"/>
    <n v="27.933333333333334"/>
    <x v="1"/>
    <s v="indie rock"/>
    <x v="670"/>
    <d v="1974-09-09T19:48:00"/>
  </r>
  <r>
    <n v="738"/>
    <s v="Garcia Group"/>
    <s v="Extended zero administration software"/>
    <n v="74700"/>
    <n v="1557"/>
    <x v="0"/>
    <n v="15"/>
    <s v="US"/>
    <s v="USD"/>
    <n v="1416117600"/>
    <n v="1418018400"/>
    <b v="0"/>
    <b v="1"/>
    <s v="theater/plays"/>
    <n v="2.0843373493975905"/>
    <n v="103.8"/>
    <x v="3"/>
    <s v="plays"/>
    <x v="671"/>
    <d v="1974-06-30T05:24:00"/>
  </r>
  <r>
    <n v="739"/>
    <s v="Meyer-Avila"/>
    <s v="Multi-tiered discrete support"/>
    <n v="10000"/>
    <n v="6100"/>
    <x v="0"/>
    <n v="191"/>
    <s v="US"/>
    <s v="USD"/>
    <n v="1340946000"/>
    <n v="1341032400"/>
    <b v="0"/>
    <b v="0"/>
    <s v="music/indie rock"/>
    <n v="61"/>
    <n v="31.937172774869111"/>
    <x v="1"/>
    <s v="indie rock"/>
    <x v="672"/>
    <d v="1974-04-02T02:54:00"/>
  </r>
  <r>
    <n v="740"/>
    <s v="Nelson, Smith and Graham"/>
    <s v="Phased system-worthy conglomeration"/>
    <n v="5300"/>
    <n v="1592"/>
    <x v="0"/>
    <n v="16"/>
    <s v="US"/>
    <s v="USD"/>
    <n v="1486101600"/>
    <n v="1486360800"/>
    <b v="0"/>
    <b v="0"/>
    <s v="theater/plays"/>
    <n v="30.037735849056602"/>
    <n v="99.5"/>
    <x v="3"/>
    <s v="plays"/>
    <x v="673"/>
    <d v="1974-09-17T07:48:00"/>
  </r>
  <r>
    <n v="741"/>
    <s v="Garcia Ltd"/>
    <s v="Balanced mobile alliance"/>
    <n v="1200"/>
    <n v="14150"/>
    <x v="1"/>
    <n v="130"/>
    <s v="US"/>
    <s v="USD"/>
    <n v="1274590800"/>
    <n v="1274677200"/>
    <b v="0"/>
    <b v="0"/>
    <s v="theater/plays"/>
    <n v="1179.1666666666665"/>
    <n v="108.84615384615384"/>
    <x v="3"/>
    <s v="plays"/>
    <x v="674"/>
    <d v="1974-01-15T07:42:00"/>
  </r>
  <r>
    <n v="742"/>
    <s v="West-Stevens"/>
    <s v="Reactive solution-oriented groupware"/>
    <n v="1200"/>
    <n v="13513"/>
    <x v="1"/>
    <n v="122"/>
    <s v="US"/>
    <s v="USD"/>
    <n v="1263880800"/>
    <n v="1267509600"/>
    <b v="0"/>
    <b v="0"/>
    <s v="music/electric music"/>
    <n v="1126.0833333333335"/>
    <n v="110.76229508196721"/>
    <x v="1"/>
    <s v="electric music"/>
    <x v="675"/>
    <d v="1974-01-07T00:36:00"/>
  </r>
  <r>
    <n v="743"/>
    <s v="Clark-Conrad"/>
    <s v="Exclusive bandwidth-monitored orchestration"/>
    <n v="3900"/>
    <n v="504"/>
    <x v="0"/>
    <n v="17"/>
    <s v="US"/>
    <s v="USD"/>
    <n v="1445403600"/>
    <n v="1445922000"/>
    <b v="0"/>
    <b v="1"/>
    <s v="theater/plays"/>
    <n v="12.923076923076923"/>
    <n v="29.647058823529413"/>
    <x v="3"/>
    <s v="plays"/>
    <x v="676"/>
    <d v="1974-08-01T12:30:00"/>
  </r>
  <r>
    <n v="744"/>
    <s v="Fitzgerald Group"/>
    <s v="Intuitive exuding initiative"/>
    <n v="2000"/>
    <n v="14240"/>
    <x v="1"/>
    <n v="140"/>
    <s v="US"/>
    <s v="USD"/>
    <n v="1533877200"/>
    <n v="1534050000"/>
    <b v="0"/>
    <b v="1"/>
    <s v="theater/plays"/>
    <n v="712"/>
    <n v="101.71428571428571"/>
    <x v="3"/>
    <s v="plays"/>
    <x v="342"/>
    <d v="1974-11-11T12:30:00"/>
  </r>
  <r>
    <n v="745"/>
    <s v="Hill, Mccann and Moore"/>
    <s v="Streamlined needs-based knowledge user"/>
    <n v="6900"/>
    <n v="2091"/>
    <x v="0"/>
    <n v="34"/>
    <s v="US"/>
    <s v="USD"/>
    <n v="1275195600"/>
    <n v="1277528400"/>
    <b v="0"/>
    <b v="0"/>
    <s v="technology/wearables"/>
    <n v="30.304347826086957"/>
    <n v="61.5"/>
    <x v="2"/>
    <s v="wearables"/>
    <x v="677"/>
    <d v="1974-01-18T14:54:00"/>
  </r>
  <r>
    <n v="746"/>
    <s v="Edwards LLC"/>
    <s v="Automated system-worthy structure"/>
    <n v="55800"/>
    <n v="118580"/>
    <x v="1"/>
    <n v="3388"/>
    <s v="US"/>
    <s v="USD"/>
    <n v="1318136400"/>
    <n v="1318568400"/>
    <b v="0"/>
    <b v="0"/>
    <s v="technology/web"/>
    <n v="212.50896057347671"/>
    <n v="35"/>
    <x v="2"/>
    <s v="web"/>
    <x v="678"/>
    <d v="1974-03-07T02:54:00"/>
  </r>
  <r>
    <n v="747"/>
    <s v="Greer and Sons"/>
    <s v="Secured clear-thinking intranet"/>
    <n v="4900"/>
    <n v="11214"/>
    <x v="1"/>
    <n v="280"/>
    <s v="US"/>
    <s v="USD"/>
    <n v="1283403600"/>
    <n v="1284354000"/>
    <b v="0"/>
    <b v="0"/>
    <s v="theater/plays"/>
    <n v="228.85714285714286"/>
    <n v="40.049999999999997"/>
    <x v="3"/>
    <s v="plays"/>
    <x v="679"/>
    <d v="1974-01-26T12:30:00"/>
  </r>
  <r>
    <n v="748"/>
    <s v="Martinez PLC"/>
    <s v="Cloned actuating architecture"/>
    <n v="194900"/>
    <n v="68137"/>
    <x v="3"/>
    <n v="614"/>
    <s v="US"/>
    <s v="USD"/>
    <n v="1267423200"/>
    <n v="1269579600"/>
    <b v="0"/>
    <b v="1"/>
    <s v="film &amp; video/animation"/>
    <n v="34.959979476654695"/>
    <n v="110.97231270358306"/>
    <x v="4"/>
    <s v="animation"/>
    <x v="680"/>
    <d v="1974-01-09T10:06:00"/>
  </r>
  <r>
    <n v="749"/>
    <s v="Hunter-Logan"/>
    <s v="Down-sized needs-based task-force"/>
    <n v="8600"/>
    <n v="13527"/>
    <x v="1"/>
    <n v="366"/>
    <s v="IT"/>
    <s v="EUR"/>
    <n v="1412744400"/>
    <n v="1413781200"/>
    <b v="0"/>
    <b v="1"/>
    <s v="technology/wearables"/>
    <n v="157.29069767441862"/>
    <n v="36.959016393442624"/>
    <x v="2"/>
    <s v="wearables"/>
    <x v="681"/>
    <d v="1974-06-25T07:42:00"/>
  </r>
  <r>
    <n v="750"/>
    <s v="Ramos and Sons"/>
    <s v="Extended responsive Internet solution"/>
    <n v="100"/>
    <n v="1"/>
    <x v="0"/>
    <n v="1"/>
    <s v="GB"/>
    <s v="GBP"/>
    <n v="1277960400"/>
    <n v="1280120400"/>
    <b v="0"/>
    <b v="0"/>
    <s v="music/electric music"/>
    <n v="1"/>
    <n v="1"/>
    <x v="1"/>
    <s v="electric music"/>
    <x v="682"/>
    <d v="1974-01-21T14:54:00"/>
  </r>
  <r>
    <n v="751"/>
    <s v="Lane-Barber"/>
    <s v="Universal value-added moderator"/>
    <n v="3600"/>
    <n v="8363"/>
    <x v="1"/>
    <n v="270"/>
    <s v="US"/>
    <s v="USD"/>
    <n v="1458190800"/>
    <n v="1459486800"/>
    <b v="1"/>
    <b v="1"/>
    <s v="publishing/nonfiction"/>
    <n v="232.30555555555554"/>
    <n v="30.974074074074075"/>
    <x v="5"/>
    <s v="nonfiction"/>
    <x v="683"/>
    <d v="1974-08-17T05:18:00"/>
  </r>
  <r>
    <n v="752"/>
    <s v="Lowery Group"/>
    <s v="Sharable motivating emulation"/>
    <n v="5800"/>
    <n v="5362"/>
    <x v="3"/>
    <n v="114"/>
    <s v="US"/>
    <s v="USD"/>
    <n v="1280984400"/>
    <n v="1282539600"/>
    <b v="0"/>
    <b v="1"/>
    <s v="theater/plays"/>
    <n v="92.448275862068968"/>
    <n v="47.035087719298247"/>
    <x v="3"/>
    <s v="plays"/>
    <x v="684"/>
    <d v="1974-01-24T10:06:00"/>
  </r>
  <r>
    <n v="753"/>
    <s v="Guerrero-Griffin"/>
    <s v="Networked web-enabled product"/>
    <n v="4700"/>
    <n v="12065"/>
    <x v="1"/>
    <n v="137"/>
    <s v="US"/>
    <s v="USD"/>
    <n v="1274590800"/>
    <n v="1275886800"/>
    <b v="0"/>
    <b v="0"/>
    <s v="photography/photography books"/>
    <n v="256.70212765957444"/>
    <n v="88.065693430656935"/>
    <x v="7"/>
    <s v="photography books"/>
    <x v="674"/>
    <d v="1974-01-16T17:18:00"/>
  </r>
  <r>
    <n v="754"/>
    <s v="Perez, Reed and Lee"/>
    <s v="Advanced dedicated encoding"/>
    <n v="70400"/>
    <n v="118603"/>
    <x v="1"/>
    <n v="3205"/>
    <s v="US"/>
    <s v="USD"/>
    <n v="1351400400"/>
    <n v="1355983200"/>
    <b v="0"/>
    <b v="0"/>
    <s v="theater/plays"/>
    <n v="168.47017045454547"/>
    <n v="37.005616224648989"/>
    <x v="3"/>
    <s v="plays"/>
    <x v="685"/>
    <d v="1974-04-19T10:12:00"/>
  </r>
  <r>
    <n v="755"/>
    <s v="Chen, Pollard and Clarke"/>
    <s v="Stand-alone multi-state project"/>
    <n v="4500"/>
    <n v="7496"/>
    <x v="1"/>
    <n v="288"/>
    <s v="DK"/>
    <s v="DKK"/>
    <n v="1514354400"/>
    <n v="1515391200"/>
    <b v="0"/>
    <b v="1"/>
    <s v="theater/plays"/>
    <n v="166.57777777777778"/>
    <n v="26.027777777777779"/>
    <x v="3"/>
    <s v="plays"/>
    <x v="605"/>
    <d v="1974-10-20T22:12:00"/>
  </r>
  <r>
    <n v="756"/>
    <s v="Serrano, Gallagher and Griffith"/>
    <s v="Customizable bi-directional monitoring"/>
    <n v="1300"/>
    <n v="10037"/>
    <x v="1"/>
    <n v="148"/>
    <s v="US"/>
    <s v="USD"/>
    <n v="1421733600"/>
    <n v="1422252000"/>
    <b v="0"/>
    <b v="0"/>
    <s v="theater/plays"/>
    <n v="772.07692307692309"/>
    <n v="67.817567567567565"/>
    <x v="3"/>
    <s v="plays"/>
    <x v="686"/>
    <d v="1974-07-05T03:00:00"/>
  </r>
  <r>
    <n v="757"/>
    <s v="Callahan-Gilbert"/>
    <s v="Profit-focused motivating function"/>
    <n v="1400"/>
    <n v="5696"/>
    <x v="1"/>
    <n v="114"/>
    <s v="US"/>
    <s v="USD"/>
    <n v="1305176400"/>
    <n v="1305522000"/>
    <b v="0"/>
    <b v="0"/>
    <s v="film &amp; video/drama"/>
    <n v="406.85714285714283"/>
    <n v="49.964912280701753"/>
    <x v="4"/>
    <s v="drama"/>
    <x v="687"/>
    <d v="1974-02-20T00:30:00"/>
  </r>
  <r>
    <n v="758"/>
    <s v="Logan-Miranda"/>
    <s v="Proactive systemic firmware"/>
    <n v="29600"/>
    <n v="167005"/>
    <x v="1"/>
    <n v="1518"/>
    <s v="CA"/>
    <s v="CAD"/>
    <n v="1414126800"/>
    <n v="1414904400"/>
    <b v="0"/>
    <b v="0"/>
    <s v="music/rock"/>
    <n v="564.20608108108115"/>
    <n v="110.01646903820817"/>
    <x v="1"/>
    <s v="rock"/>
    <x v="688"/>
    <d v="1974-06-26T14:54:00"/>
  </r>
  <r>
    <n v="759"/>
    <s v="Rodriguez PLC"/>
    <s v="Grass-roots upward-trending installation"/>
    <n v="167500"/>
    <n v="114615"/>
    <x v="0"/>
    <n v="1274"/>
    <s v="US"/>
    <s v="USD"/>
    <n v="1517810400"/>
    <n v="1520402400"/>
    <b v="0"/>
    <b v="0"/>
    <s v="music/electric music"/>
    <n v="68.426865671641792"/>
    <n v="89.964678178963894"/>
    <x v="1"/>
    <s v="electric music"/>
    <x v="689"/>
    <d v="1974-10-26T17:24:00"/>
  </r>
  <r>
    <n v="760"/>
    <s v="Smith-Kennedy"/>
    <s v="Virtual heuristic hub"/>
    <n v="48300"/>
    <n v="16592"/>
    <x v="0"/>
    <n v="210"/>
    <s v="IT"/>
    <s v="EUR"/>
    <n v="1564635600"/>
    <n v="1567141200"/>
    <b v="0"/>
    <b v="1"/>
    <s v="games/video games"/>
    <n v="34.351966873706004"/>
    <n v="79.009523809523813"/>
    <x v="6"/>
    <s v="video games"/>
    <x v="690"/>
    <d v="1974-12-19T19:42:00"/>
  </r>
  <r>
    <n v="761"/>
    <s v="Mitchell-Lee"/>
    <s v="Customizable leadingedge model"/>
    <n v="2200"/>
    <n v="14420"/>
    <x v="1"/>
    <n v="166"/>
    <s v="US"/>
    <s v="USD"/>
    <n v="1500699600"/>
    <n v="1501131600"/>
    <b v="0"/>
    <b v="0"/>
    <s v="music/rock"/>
    <n v="655.4545454545455"/>
    <n v="86.867469879518069"/>
    <x v="1"/>
    <s v="rock"/>
    <x v="691"/>
    <d v="1974-10-04T10:06:00"/>
  </r>
  <r>
    <n v="762"/>
    <s v="Davis Ltd"/>
    <s v="Upgradable uniform service-desk"/>
    <n v="3500"/>
    <n v="6204"/>
    <x v="1"/>
    <n v="100"/>
    <s v="AU"/>
    <s v="AUD"/>
    <n v="1354082400"/>
    <n v="1355032800"/>
    <b v="0"/>
    <b v="0"/>
    <s v="music/jazz"/>
    <n v="177.25714285714284"/>
    <n v="62.04"/>
    <x v="1"/>
    <s v="jazz"/>
    <x v="692"/>
    <d v="1974-04-18T07:48:00"/>
  </r>
  <r>
    <n v="763"/>
    <s v="Rowland PLC"/>
    <s v="Inverse client-driven product"/>
    <n v="5600"/>
    <n v="6338"/>
    <x v="1"/>
    <n v="235"/>
    <s v="US"/>
    <s v="USD"/>
    <n v="1336453200"/>
    <n v="1339477200"/>
    <b v="0"/>
    <b v="1"/>
    <s v="theater/plays"/>
    <n v="113.17857142857144"/>
    <n v="26.970212765957445"/>
    <x v="3"/>
    <s v="plays"/>
    <x v="693"/>
    <d v="1974-03-31T07:42:00"/>
  </r>
  <r>
    <n v="764"/>
    <s v="Shaffer-Mason"/>
    <s v="Managed bandwidth-monitored system engine"/>
    <n v="1100"/>
    <n v="8010"/>
    <x v="1"/>
    <n v="148"/>
    <s v="US"/>
    <s v="USD"/>
    <n v="1305262800"/>
    <n v="1305954000"/>
    <b v="0"/>
    <b v="0"/>
    <s v="music/rock"/>
    <n v="728.18181818181824"/>
    <n v="54.121621621621621"/>
    <x v="1"/>
    <s v="rock"/>
    <x v="694"/>
    <d v="1974-02-20T12:30:00"/>
  </r>
  <r>
    <n v="765"/>
    <s v="Matthews LLC"/>
    <s v="Advanced transitional help-desk"/>
    <n v="3900"/>
    <n v="8125"/>
    <x v="1"/>
    <n v="198"/>
    <s v="US"/>
    <s v="USD"/>
    <n v="1492232400"/>
    <n v="1494392400"/>
    <b v="1"/>
    <b v="1"/>
    <s v="music/indie rock"/>
    <n v="208.33333333333334"/>
    <n v="41.035353535353536"/>
    <x v="1"/>
    <s v="indie rock"/>
    <x v="695"/>
    <d v="1974-09-26T14:54:00"/>
  </r>
  <r>
    <n v="766"/>
    <s v="Montgomery-Castro"/>
    <s v="De-engineered disintermediate encryption"/>
    <n v="43800"/>
    <n v="13653"/>
    <x v="0"/>
    <n v="248"/>
    <s v="AU"/>
    <s v="AUD"/>
    <n v="1537333200"/>
    <n v="1537419600"/>
    <b v="0"/>
    <b v="0"/>
    <s v="film &amp; video/science fiction"/>
    <n v="31.171232876712331"/>
    <n v="55.052419354838712"/>
    <x v="4"/>
    <s v="science fiction"/>
    <x v="123"/>
    <d v="1974-11-15T10:06:00"/>
  </r>
  <r>
    <n v="767"/>
    <s v="Hale, Pearson and Jenkins"/>
    <s v="Upgradable attitude-oriented project"/>
    <n v="97200"/>
    <n v="55372"/>
    <x v="0"/>
    <n v="513"/>
    <s v="US"/>
    <s v="USD"/>
    <n v="1444107600"/>
    <n v="1447999200"/>
    <b v="0"/>
    <b v="0"/>
    <s v="publishing/translations"/>
    <n v="56.967078189300416"/>
    <n v="107.93762183235867"/>
    <x v="5"/>
    <s v="translations"/>
    <x v="696"/>
    <d v="1974-08-03T22:12:00"/>
  </r>
  <r>
    <n v="768"/>
    <s v="Ramirez-Calderon"/>
    <s v="Fundamental zero tolerance alliance"/>
    <n v="4800"/>
    <n v="11088"/>
    <x v="1"/>
    <n v="150"/>
    <s v="US"/>
    <s v="USD"/>
    <n v="1386741600"/>
    <n v="1388037600"/>
    <b v="0"/>
    <b v="0"/>
    <s v="theater/plays"/>
    <n v="231"/>
    <n v="73.92"/>
    <x v="3"/>
    <s v="plays"/>
    <x v="626"/>
    <d v="1974-05-26T12:36:00"/>
  </r>
  <r>
    <n v="769"/>
    <s v="Johnson-Morales"/>
    <s v="Devolved 24hour forecast"/>
    <n v="125600"/>
    <n v="109106"/>
    <x v="0"/>
    <n v="3410"/>
    <s v="US"/>
    <s v="USD"/>
    <n v="1376542800"/>
    <n v="1378789200"/>
    <b v="0"/>
    <b v="0"/>
    <s v="games/video games"/>
    <n v="86.867834394904463"/>
    <n v="31.995894428152493"/>
    <x v="6"/>
    <s v="video games"/>
    <x v="697"/>
    <d v="1974-05-15T19:42:00"/>
  </r>
  <r>
    <n v="770"/>
    <s v="Mathis-Rodriguez"/>
    <s v="User-centric attitude-oriented intranet"/>
    <n v="4300"/>
    <n v="11642"/>
    <x v="1"/>
    <n v="216"/>
    <s v="IT"/>
    <s v="EUR"/>
    <n v="1397451600"/>
    <n v="1398056400"/>
    <b v="0"/>
    <b v="1"/>
    <s v="theater/plays"/>
    <n v="270.74418604651163"/>
    <n v="53.898148148148145"/>
    <x v="3"/>
    <s v="plays"/>
    <x v="698"/>
    <d v="1974-06-07T02:54:00"/>
  </r>
  <r>
    <n v="771"/>
    <s v="Smith, Mack and Williams"/>
    <s v="Self-enabling 5thgeneration paradigm"/>
    <n v="5600"/>
    <n v="2769"/>
    <x v="3"/>
    <n v="26"/>
    <s v="US"/>
    <s v="USD"/>
    <n v="1548482400"/>
    <n v="1550815200"/>
    <b v="0"/>
    <b v="0"/>
    <s v="theater/plays"/>
    <n v="49.446428571428569"/>
    <n v="106.5"/>
    <x v="3"/>
    <s v="plays"/>
    <x v="699"/>
    <d v="1974-11-30T22:12:00"/>
  </r>
  <r>
    <n v="772"/>
    <s v="Johnson-Pace"/>
    <s v="Persistent 3rdgeneration moratorium"/>
    <n v="149600"/>
    <n v="169586"/>
    <x v="1"/>
    <n v="5139"/>
    <s v="US"/>
    <s v="USD"/>
    <n v="1549692000"/>
    <n v="1550037600"/>
    <b v="0"/>
    <b v="0"/>
    <s v="music/indie rock"/>
    <n v="113.3596256684492"/>
    <n v="32.999805409612762"/>
    <x v="1"/>
    <s v="indie rock"/>
    <x v="700"/>
    <d v="1974-11-30T00:36:00"/>
  </r>
  <r>
    <n v="773"/>
    <s v="Meza, Kirby and Patel"/>
    <s v="Cross-platform empowering project"/>
    <n v="53100"/>
    <n v="101185"/>
    <x v="1"/>
    <n v="2353"/>
    <s v="US"/>
    <s v="USD"/>
    <n v="1492059600"/>
    <n v="1492923600"/>
    <b v="0"/>
    <b v="0"/>
    <s v="theater/plays"/>
    <n v="190.55555555555554"/>
    <n v="43.00254993625159"/>
    <x v="3"/>
    <s v="plays"/>
    <x v="701"/>
    <d v="1974-09-24T22:06:00"/>
  </r>
  <r>
    <n v="774"/>
    <s v="Gonzalez-Snow"/>
    <s v="Polarized user-facing interface"/>
    <n v="5000"/>
    <n v="6775"/>
    <x v="1"/>
    <n v="78"/>
    <s v="IT"/>
    <s v="EUR"/>
    <n v="1463979600"/>
    <n v="1467522000"/>
    <b v="0"/>
    <b v="0"/>
    <s v="technology/web"/>
    <n v="135.5"/>
    <n v="86.858974358974365"/>
    <x v="2"/>
    <s v="web"/>
    <x v="702"/>
    <d v="1974-08-26T12:30:00"/>
  </r>
  <r>
    <n v="775"/>
    <s v="Murphy LLC"/>
    <s v="Customer-focused non-volatile framework"/>
    <n v="9400"/>
    <n v="968"/>
    <x v="0"/>
    <n v="10"/>
    <s v="US"/>
    <s v="USD"/>
    <n v="1415253600"/>
    <n v="1416117600"/>
    <b v="0"/>
    <b v="0"/>
    <s v="music/rock"/>
    <n v="10.297872340425531"/>
    <n v="96.8"/>
    <x v="1"/>
    <s v="rock"/>
    <x v="703"/>
    <d v="1974-06-28T00:36:00"/>
  </r>
  <r>
    <n v="776"/>
    <s v="Taylor-Rowe"/>
    <s v="Synchronized multimedia frame"/>
    <n v="110800"/>
    <n v="72623"/>
    <x v="0"/>
    <n v="2201"/>
    <s v="US"/>
    <s v="USD"/>
    <n v="1562216400"/>
    <n v="1563771600"/>
    <b v="0"/>
    <b v="0"/>
    <s v="theater/plays"/>
    <n v="65.544223826714799"/>
    <n v="32.995456610631528"/>
    <x v="3"/>
    <s v="plays"/>
    <x v="704"/>
    <d v="1974-12-15T22:06:00"/>
  </r>
  <r>
    <n v="777"/>
    <s v="Henderson Ltd"/>
    <s v="Open-architected stable algorithm"/>
    <n v="93800"/>
    <n v="45987"/>
    <x v="0"/>
    <n v="676"/>
    <s v="US"/>
    <s v="USD"/>
    <n v="1316754000"/>
    <n v="1319259600"/>
    <b v="0"/>
    <b v="0"/>
    <s v="theater/plays"/>
    <n v="49.026652452025587"/>
    <n v="68.028106508875737"/>
    <x v="3"/>
    <s v="plays"/>
    <x v="431"/>
    <d v="1974-03-07T22:06:00"/>
  </r>
  <r>
    <n v="778"/>
    <s v="Moss-Guzman"/>
    <s v="Cross-platform optimizing website"/>
    <n v="1300"/>
    <n v="10243"/>
    <x v="1"/>
    <n v="174"/>
    <s v="CH"/>
    <s v="CHF"/>
    <n v="1313211600"/>
    <n v="1313643600"/>
    <b v="0"/>
    <b v="0"/>
    <s v="film &amp; video/animation"/>
    <n v="787.92307692307691"/>
    <n v="58.867816091954026"/>
    <x v="4"/>
    <s v="animation"/>
    <x v="705"/>
    <d v="1974-03-01T10:06:00"/>
  </r>
  <r>
    <n v="779"/>
    <s v="Webb Group"/>
    <s v="Public-key actuating projection"/>
    <n v="108700"/>
    <n v="87293"/>
    <x v="0"/>
    <n v="831"/>
    <s v="US"/>
    <s v="USD"/>
    <n v="1439528400"/>
    <n v="1440306000"/>
    <b v="0"/>
    <b v="1"/>
    <s v="theater/plays"/>
    <n v="80.306347746090154"/>
    <n v="105.04572803850782"/>
    <x v="3"/>
    <s v="plays"/>
    <x v="706"/>
    <d v="1974-07-26T00:30:00"/>
  </r>
  <r>
    <n v="780"/>
    <s v="Brooks-Rodriguez"/>
    <s v="Implemented intangible instruction set"/>
    <n v="5100"/>
    <n v="5421"/>
    <x v="1"/>
    <n v="164"/>
    <s v="US"/>
    <s v="USD"/>
    <n v="1469163600"/>
    <n v="1470805200"/>
    <b v="0"/>
    <b v="1"/>
    <s v="film &amp; video/drama"/>
    <n v="106.29411764705883"/>
    <n v="33.054878048780488"/>
    <x v="4"/>
    <s v="drama"/>
    <x v="707"/>
    <d v="1974-08-30T07:42:00"/>
  </r>
  <r>
    <n v="781"/>
    <s v="Thomas Ltd"/>
    <s v="Cross-group interactive architecture"/>
    <n v="8700"/>
    <n v="4414"/>
    <x v="3"/>
    <n v="56"/>
    <s v="CH"/>
    <s v="CHF"/>
    <n v="1288501200"/>
    <n v="1292911200"/>
    <b v="0"/>
    <b v="0"/>
    <s v="theater/plays"/>
    <n v="50.735632183908038"/>
    <n v="78.821428571428569"/>
    <x v="3"/>
    <s v="plays"/>
    <x v="708"/>
    <d v="1974-02-05T10:12:00"/>
  </r>
  <r>
    <n v="782"/>
    <s v="Williams and Sons"/>
    <s v="Centralized asymmetric framework"/>
    <n v="5100"/>
    <n v="10981"/>
    <x v="1"/>
    <n v="161"/>
    <s v="US"/>
    <s v="USD"/>
    <n v="1298959200"/>
    <n v="1301374800"/>
    <b v="0"/>
    <b v="1"/>
    <s v="film &amp; video/animation"/>
    <n v="215.31372549019611"/>
    <n v="68.204968944099377"/>
    <x v="4"/>
    <s v="animation"/>
    <x v="709"/>
    <d v="1974-02-15T05:18:00"/>
  </r>
  <r>
    <n v="783"/>
    <s v="Vega, Chan and Carney"/>
    <s v="Down-sized systematic utilization"/>
    <n v="7400"/>
    <n v="10451"/>
    <x v="1"/>
    <n v="138"/>
    <s v="US"/>
    <s v="USD"/>
    <n v="1387260000"/>
    <n v="1387864800"/>
    <b v="0"/>
    <b v="0"/>
    <s v="music/rock"/>
    <n v="141.22972972972974"/>
    <n v="75.731884057971016"/>
    <x v="1"/>
    <s v="rock"/>
    <x v="710"/>
    <d v="1974-05-26T07:48:00"/>
  </r>
  <r>
    <n v="784"/>
    <s v="Byrd Group"/>
    <s v="Profound fault-tolerant model"/>
    <n v="88900"/>
    <n v="102535"/>
    <x v="1"/>
    <n v="3308"/>
    <s v="US"/>
    <s v="USD"/>
    <n v="1457244000"/>
    <n v="1458190800"/>
    <b v="0"/>
    <b v="0"/>
    <s v="technology/web"/>
    <n v="115.33745781777279"/>
    <n v="30.996070133010882"/>
    <x v="2"/>
    <s v="web"/>
    <x v="711"/>
    <d v="1974-08-15T17:18:00"/>
  </r>
  <r>
    <n v="785"/>
    <s v="Peterson, Fletcher and Sanchez"/>
    <s v="Multi-channeled bi-directional moratorium"/>
    <n v="6700"/>
    <n v="12939"/>
    <x v="1"/>
    <n v="127"/>
    <s v="AU"/>
    <s v="AUD"/>
    <n v="1556341200"/>
    <n v="1559278800"/>
    <b v="0"/>
    <b v="1"/>
    <s v="film &amp; video/animation"/>
    <n v="193.11940298507463"/>
    <n v="101.88188976377953"/>
    <x v="4"/>
    <s v="animation"/>
    <x v="157"/>
    <d v="1974-12-10T17:18:00"/>
  </r>
  <r>
    <n v="786"/>
    <s v="Smith-Brown"/>
    <s v="Object-based content-based ability"/>
    <n v="1500"/>
    <n v="10946"/>
    <x v="1"/>
    <n v="207"/>
    <s v="IT"/>
    <s v="EUR"/>
    <n v="1522126800"/>
    <n v="1522731600"/>
    <b v="0"/>
    <b v="1"/>
    <s v="music/jazz"/>
    <n v="729.73333333333335"/>
    <n v="52.879227053140099"/>
    <x v="1"/>
    <s v="jazz"/>
    <x v="630"/>
    <d v="1974-10-29T10:06:00"/>
  </r>
  <r>
    <n v="787"/>
    <s v="Vance-Glover"/>
    <s v="Progressive coherent secured line"/>
    <n v="61200"/>
    <n v="60994"/>
    <x v="0"/>
    <n v="859"/>
    <s v="CA"/>
    <s v="CAD"/>
    <n v="1305954000"/>
    <n v="1306731600"/>
    <b v="0"/>
    <b v="0"/>
    <s v="music/rock"/>
    <n v="99.66339869281046"/>
    <n v="71.005820721769496"/>
    <x v="1"/>
    <s v="rock"/>
    <x v="712"/>
    <d v="1974-02-21T10:06:00"/>
  </r>
  <r>
    <n v="788"/>
    <s v="Joyce PLC"/>
    <s v="Synchronized directional capability"/>
    <n v="3600"/>
    <n v="3174"/>
    <x v="2"/>
    <n v="31"/>
    <s v="US"/>
    <s v="USD"/>
    <n v="1350709200"/>
    <n v="1352527200"/>
    <b v="0"/>
    <b v="0"/>
    <s v="film &amp; video/animation"/>
    <n v="88.166666666666671"/>
    <n v="102.38709677419355"/>
    <x v="4"/>
    <s v="animation"/>
    <x v="93"/>
    <d v="1974-04-15T10:12:00"/>
  </r>
  <r>
    <n v="789"/>
    <s v="Kennedy-Miller"/>
    <s v="Cross-platform composite migration"/>
    <n v="9000"/>
    <n v="3351"/>
    <x v="0"/>
    <n v="45"/>
    <s v="US"/>
    <s v="USD"/>
    <n v="1401166800"/>
    <n v="1404363600"/>
    <b v="0"/>
    <b v="0"/>
    <s v="theater/plays"/>
    <n v="37.233333333333334"/>
    <n v="74.466666666666669"/>
    <x v="3"/>
    <s v="plays"/>
    <x v="713"/>
    <d v="1974-06-14T10:06:00"/>
  </r>
  <r>
    <n v="790"/>
    <s v="White-Obrien"/>
    <s v="Operative local pricing structure"/>
    <n v="185900"/>
    <n v="56774"/>
    <x v="3"/>
    <n v="1113"/>
    <s v="US"/>
    <s v="USD"/>
    <n v="1266127200"/>
    <n v="1266645600"/>
    <b v="0"/>
    <b v="0"/>
    <s v="theater/plays"/>
    <n v="30.540075309306079"/>
    <n v="51.009883198562441"/>
    <x v="3"/>
    <s v="plays"/>
    <x v="714"/>
    <d v="1974-01-06T00:36:00"/>
  </r>
  <r>
    <n v="791"/>
    <s v="Stafford, Hess and Raymond"/>
    <s v="Optional web-enabled extranet"/>
    <n v="2100"/>
    <n v="540"/>
    <x v="0"/>
    <n v="6"/>
    <s v="US"/>
    <s v="USD"/>
    <n v="1481436000"/>
    <n v="1482818400"/>
    <b v="0"/>
    <b v="0"/>
    <s v="food/food trucks"/>
    <n v="25.714285714285712"/>
    <n v="90"/>
    <x v="0"/>
    <s v="food trucks"/>
    <x v="715"/>
    <d v="1974-09-13T05:24:00"/>
  </r>
  <r>
    <n v="792"/>
    <s v="Jordan, Schneider and Hall"/>
    <s v="Reduced 6thgeneration intranet"/>
    <n v="2000"/>
    <n v="680"/>
    <x v="0"/>
    <n v="7"/>
    <s v="US"/>
    <s v="USD"/>
    <n v="1372222800"/>
    <n v="1374642000"/>
    <b v="0"/>
    <b v="1"/>
    <s v="theater/plays"/>
    <n v="34"/>
    <n v="97.142857142857139"/>
    <x v="3"/>
    <s v="plays"/>
    <x v="716"/>
    <d v="1974-05-11T00:30:00"/>
  </r>
  <r>
    <n v="793"/>
    <s v="Rodriguez, Cox and Rodriguez"/>
    <s v="Networked disintermediate leverage"/>
    <n v="1100"/>
    <n v="13045"/>
    <x v="1"/>
    <n v="181"/>
    <s v="CH"/>
    <s v="CHF"/>
    <n v="1372136400"/>
    <n v="1372482000"/>
    <b v="0"/>
    <b v="0"/>
    <s v="publishing/nonfiction"/>
    <n v="1185.909090909091"/>
    <n v="72.071823204419886"/>
    <x v="5"/>
    <s v="nonfiction"/>
    <x v="448"/>
    <d v="1974-05-08T12:30:00"/>
  </r>
  <r>
    <n v="794"/>
    <s v="Welch Inc"/>
    <s v="Optional optimal website"/>
    <n v="6600"/>
    <n v="8276"/>
    <x v="1"/>
    <n v="110"/>
    <s v="US"/>
    <s v="USD"/>
    <n v="1513922400"/>
    <n v="1514959200"/>
    <b v="0"/>
    <b v="0"/>
    <s v="music/rock"/>
    <n v="125.39393939393939"/>
    <n v="75.236363636363635"/>
    <x v="1"/>
    <s v="rock"/>
    <x v="717"/>
    <d v="1974-10-20T10:12:00"/>
  </r>
  <r>
    <n v="795"/>
    <s v="Vasquez Inc"/>
    <s v="Stand-alone asynchronous functionalities"/>
    <n v="7100"/>
    <n v="1022"/>
    <x v="0"/>
    <n v="31"/>
    <s v="US"/>
    <s v="USD"/>
    <n v="1477976400"/>
    <n v="1478235600"/>
    <b v="0"/>
    <b v="0"/>
    <s v="film &amp; video/drama"/>
    <n v="14.394366197183098"/>
    <n v="32.967741935483872"/>
    <x v="4"/>
    <s v="drama"/>
    <x v="718"/>
    <d v="1974-09-07T22:06:00"/>
  </r>
  <r>
    <n v="796"/>
    <s v="Freeman-Ferguson"/>
    <s v="Profound full-range open system"/>
    <n v="7800"/>
    <n v="4275"/>
    <x v="0"/>
    <n v="78"/>
    <s v="US"/>
    <s v="USD"/>
    <n v="1407474000"/>
    <n v="1408078800"/>
    <b v="0"/>
    <b v="1"/>
    <s v="games/mobile games"/>
    <n v="54.807692307692314"/>
    <n v="54.807692307692307"/>
    <x v="6"/>
    <s v="mobile games"/>
    <x v="719"/>
    <d v="1974-06-18T17:18:00"/>
  </r>
  <r>
    <n v="797"/>
    <s v="Houston, Moore and Rogers"/>
    <s v="Optional tangible utilization"/>
    <n v="7600"/>
    <n v="8332"/>
    <x v="1"/>
    <n v="185"/>
    <s v="US"/>
    <s v="USD"/>
    <n v="1546149600"/>
    <n v="1548136800"/>
    <b v="0"/>
    <b v="0"/>
    <s v="technology/web"/>
    <n v="109.63157894736841"/>
    <n v="45.037837837837834"/>
    <x v="2"/>
    <s v="web"/>
    <x v="720"/>
    <d v="1974-11-27T19:48:00"/>
  </r>
  <r>
    <n v="798"/>
    <s v="Small-Fuentes"/>
    <s v="Seamless maximized product"/>
    <n v="3400"/>
    <n v="6408"/>
    <x v="1"/>
    <n v="121"/>
    <s v="US"/>
    <s v="USD"/>
    <n v="1338440400"/>
    <n v="1340859600"/>
    <b v="0"/>
    <b v="1"/>
    <s v="theater/plays"/>
    <n v="188.47058823529412"/>
    <n v="52.958677685950413"/>
    <x v="3"/>
    <s v="plays"/>
    <x v="721"/>
    <d v="1974-04-01T22:06:00"/>
  </r>
  <r>
    <n v="799"/>
    <s v="Reid-Day"/>
    <s v="Devolved tertiary time-frame"/>
    <n v="84500"/>
    <n v="73522"/>
    <x v="0"/>
    <n v="1225"/>
    <s v="GB"/>
    <s v="GBP"/>
    <n v="1454133600"/>
    <n v="1454479200"/>
    <b v="0"/>
    <b v="0"/>
    <s v="theater/plays"/>
    <n v="87.008284023668637"/>
    <n v="60.017959183673469"/>
    <x v="3"/>
    <s v="plays"/>
    <x v="722"/>
    <d v="1974-08-11T10:12:00"/>
  </r>
  <r>
    <n v="800"/>
    <s v="Wallace LLC"/>
    <s v="Centralized regional function"/>
    <n v="100"/>
    <n v="1"/>
    <x v="0"/>
    <n v="1"/>
    <s v="CH"/>
    <s v="CHF"/>
    <n v="1434085200"/>
    <n v="1434430800"/>
    <b v="0"/>
    <b v="0"/>
    <s v="music/rock"/>
    <n v="1"/>
    <n v="1"/>
    <x v="1"/>
    <s v="rock"/>
    <x v="139"/>
    <d v="1974-07-19T05:18:00"/>
  </r>
  <r>
    <n v="801"/>
    <s v="Olson-Bishop"/>
    <s v="User-friendly high-level initiative"/>
    <n v="2300"/>
    <n v="4667"/>
    <x v="1"/>
    <n v="106"/>
    <s v="US"/>
    <s v="USD"/>
    <n v="1577772000"/>
    <n v="1579672800"/>
    <b v="0"/>
    <b v="1"/>
    <s v="photography/photography books"/>
    <n v="202.9130434782609"/>
    <n v="44.028301886792455"/>
    <x v="7"/>
    <s v="photography books"/>
    <x v="723"/>
    <d v="1975-01-03T07:48:00"/>
  </r>
  <r>
    <n v="802"/>
    <s v="Rodriguez, Anderson and Porter"/>
    <s v="Reverse-engineered zero-defect infrastructure"/>
    <n v="6200"/>
    <n v="12216"/>
    <x v="1"/>
    <n v="142"/>
    <s v="US"/>
    <s v="USD"/>
    <n v="1562216400"/>
    <n v="1562389200"/>
    <b v="0"/>
    <b v="0"/>
    <s v="photography/photography books"/>
    <n v="197.03225806451613"/>
    <n v="86.028169014084511"/>
    <x v="7"/>
    <s v="photography books"/>
    <x v="704"/>
    <d v="1974-12-14T07:42:00"/>
  </r>
  <r>
    <n v="803"/>
    <s v="Perez, Brown and Meyers"/>
    <s v="Stand-alone background customer loyalty"/>
    <n v="6100"/>
    <n v="6527"/>
    <x v="1"/>
    <n v="233"/>
    <s v="US"/>
    <s v="USD"/>
    <n v="1548568800"/>
    <n v="1551506400"/>
    <b v="0"/>
    <b v="0"/>
    <s v="theater/plays"/>
    <n v="107"/>
    <n v="28.012875536480685"/>
    <x v="3"/>
    <s v="plays"/>
    <x v="724"/>
    <d v="1974-12-01T17:24:00"/>
  </r>
  <r>
    <n v="804"/>
    <s v="English-Mccullough"/>
    <s v="Business-focused discrete software"/>
    <n v="2600"/>
    <n v="6987"/>
    <x v="1"/>
    <n v="218"/>
    <s v="US"/>
    <s v="USD"/>
    <n v="1514872800"/>
    <n v="1516600800"/>
    <b v="0"/>
    <b v="0"/>
    <s v="music/rock"/>
    <n v="268.73076923076923"/>
    <n v="32.050458715596328"/>
    <x v="1"/>
    <s v="rock"/>
    <x v="725"/>
    <d v="1974-10-22T07:48:00"/>
  </r>
  <r>
    <n v="805"/>
    <s v="Smith-Nguyen"/>
    <s v="Advanced intermediate Graphic Interface"/>
    <n v="9700"/>
    <n v="4932"/>
    <x v="0"/>
    <n v="67"/>
    <s v="AU"/>
    <s v="AUD"/>
    <n v="1416031200"/>
    <n v="1420437600"/>
    <b v="0"/>
    <b v="0"/>
    <s v="film &amp; video/documentary"/>
    <n v="50.845360824742272"/>
    <n v="73.611940298507463"/>
    <x v="4"/>
    <s v="documentary"/>
    <x v="660"/>
    <d v="1974-07-03T00:36:00"/>
  </r>
  <r>
    <n v="806"/>
    <s v="Harmon-Madden"/>
    <s v="Adaptive holistic hub"/>
    <n v="700"/>
    <n v="8262"/>
    <x v="1"/>
    <n v="76"/>
    <s v="US"/>
    <s v="USD"/>
    <n v="1330927200"/>
    <n v="1332997200"/>
    <b v="0"/>
    <b v="1"/>
    <s v="film &amp; video/drama"/>
    <n v="1180.2857142857142"/>
    <n v="108.71052631578948"/>
    <x v="4"/>
    <s v="drama"/>
    <x v="726"/>
    <d v="1974-03-23T19:42:00"/>
  </r>
  <r>
    <n v="807"/>
    <s v="Walker-Taylor"/>
    <s v="Automated uniform concept"/>
    <n v="700"/>
    <n v="1848"/>
    <x v="1"/>
    <n v="43"/>
    <s v="US"/>
    <s v="USD"/>
    <n v="1571115600"/>
    <n v="1574920800"/>
    <b v="0"/>
    <b v="1"/>
    <s v="theater/plays"/>
    <n v="264"/>
    <n v="42.97674418604651"/>
    <x v="3"/>
    <s v="plays"/>
    <x v="727"/>
    <d v="1974-12-28T19:48:00"/>
  </r>
  <r>
    <n v="808"/>
    <s v="Harris, Medina and Mitchell"/>
    <s v="Enhanced regional flexibility"/>
    <n v="5200"/>
    <n v="1583"/>
    <x v="0"/>
    <n v="19"/>
    <s v="US"/>
    <s v="USD"/>
    <n v="1463461200"/>
    <n v="1464930000"/>
    <b v="0"/>
    <b v="0"/>
    <s v="food/food trucks"/>
    <n v="30.44230769230769"/>
    <n v="83.315789473684205"/>
    <x v="0"/>
    <s v="food trucks"/>
    <x v="728"/>
    <d v="1974-08-23T12:30:00"/>
  </r>
  <r>
    <n v="809"/>
    <s v="Williams and Sons"/>
    <s v="Public-key bottom-line algorithm"/>
    <n v="140800"/>
    <n v="88536"/>
    <x v="0"/>
    <n v="2108"/>
    <s v="CH"/>
    <s v="CHF"/>
    <n v="1344920400"/>
    <n v="1345006800"/>
    <b v="0"/>
    <b v="0"/>
    <s v="film &amp; video/documentary"/>
    <n v="62.880681818181813"/>
    <n v="42"/>
    <x v="4"/>
    <s v="documentary"/>
    <x v="729"/>
    <d v="1974-04-06T17:18:00"/>
  </r>
  <r>
    <n v="810"/>
    <s v="Ball-Fisher"/>
    <s v="Multi-layered intangible instruction set"/>
    <n v="6400"/>
    <n v="12360"/>
    <x v="1"/>
    <n v="221"/>
    <s v="US"/>
    <s v="USD"/>
    <n v="1511848800"/>
    <n v="1512712800"/>
    <b v="0"/>
    <b v="1"/>
    <s v="theater/plays"/>
    <n v="193.125"/>
    <n v="55.927601809954751"/>
    <x v="3"/>
    <s v="plays"/>
    <x v="730"/>
    <d v="1974-10-17T19:48:00"/>
  </r>
  <r>
    <n v="811"/>
    <s v="Page, Holt and Mack"/>
    <s v="Fundamental methodical emulation"/>
    <n v="92500"/>
    <n v="71320"/>
    <x v="0"/>
    <n v="679"/>
    <s v="US"/>
    <s v="USD"/>
    <n v="1452319200"/>
    <n v="1452492000"/>
    <b v="0"/>
    <b v="1"/>
    <s v="games/video games"/>
    <n v="77.102702702702715"/>
    <n v="105.03681885125184"/>
    <x v="6"/>
    <s v="video games"/>
    <x v="731"/>
    <d v="1974-08-09T03:00:00"/>
  </r>
  <r>
    <n v="812"/>
    <s v="Landry Group"/>
    <s v="Expanded value-added hardware"/>
    <n v="59700"/>
    <n v="134640"/>
    <x v="1"/>
    <n v="2805"/>
    <s v="CA"/>
    <s v="CAD"/>
    <n v="1523854800"/>
    <n v="1524286800"/>
    <b v="0"/>
    <b v="0"/>
    <s v="publishing/nonfiction"/>
    <n v="225.52763819095478"/>
    <n v="48"/>
    <x v="5"/>
    <s v="nonfiction"/>
    <x v="78"/>
    <d v="1974-10-31T05:18:00"/>
  </r>
  <r>
    <n v="813"/>
    <s v="Buckley Group"/>
    <s v="Diverse high-level attitude"/>
    <n v="3200"/>
    <n v="7661"/>
    <x v="1"/>
    <n v="68"/>
    <s v="US"/>
    <s v="USD"/>
    <n v="1346043600"/>
    <n v="1346907600"/>
    <b v="0"/>
    <b v="0"/>
    <s v="games/video games"/>
    <n v="239.40625"/>
    <n v="112.66176470588235"/>
    <x v="6"/>
    <s v="video games"/>
    <x v="732"/>
    <d v="1974-04-08T22:06:00"/>
  </r>
  <r>
    <n v="814"/>
    <s v="Vincent PLC"/>
    <s v="Visionary 24hour analyzer"/>
    <n v="3200"/>
    <n v="2950"/>
    <x v="0"/>
    <n v="36"/>
    <s v="DK"/>
    <s v="DKK"/>
    <n v="1464325200"/>
    <n v="1464498000"/>
    <b v="0"/>
    <b v="1"/>
    <s v="music/rock"/>
    <n v="92.1875"/>
    <n v="81.944444444444443"/>
    <x v="1"/>
    <s v="rock"/>
    <x v="733"/>
    <d v="1974-08-23T00:30:00"/>
  </r>
  <r>
    <n v="815"/>
    <s v="Watson-Douglas"/>
    <s v="Centralized bandwidth-monitored leverage"/>
    <n v="9000"/>
    <n v="11721"/>
    <x v="1"/>
    <n v="183"/>
    <s v="CA"/>
    <s v="CAD"/>
    <n v="1511935200"/>
    <n v="1514181600"/>
    <b v="0"/>
    <b v="0"/>
    <s v="music/rock"/>
    <n v="130.23333333333335"/>
    <n v="64.049180327868854"/>
    <x v="1"/>
    <s v="rock"/>
    <x v="734"/>
    <d v="1974-10-19T12:36:00"/>
  </r>
  <r>
    <n v="816"/>
    <s v="Jones, Casey and Jones"/>
    <s v="Ergonomic mission-critical moratorium"/>
    <n v="2300"/>
    <n v="14150"/>
    <x v="1"/>
    <n v="133"/>
    <s v="US"/>
    <s v="USD"/>
    <n v="1392012000"/>
    <n v="1392184800"/>
    <b v="1"/>
    <b v="1"/>
    <s v="theater/plays"/>
    <n v="615.21739130434787"/>
    <n v="106.39097744360902"/>
    <x v="3"/>
    <s v="plays"/>
    <x v="406"/>
    <d v="1974-05-31T07:48:00"/>
  </r>
  <r>
    <n v="817"/>
    <s v="Alvarez-Bauer"/>
    <s v="Front-line intermediate moderator"/>
    <n v="51300"/>
    <n v="189192"/>
    <x v="1"/>
    <n v="2489"/>
    <s v="IT"/>
    <s v="EUR"/>
    <n v="1556946000"/>
    <n v="1559365200"/>
    <b v="0"/>
    <b v="1"/>
    <s v="publishing/nonfiction"/>
    <n v="368.79532163742692"/>
    <n v="76.011249497790274"/>
    <x v="5"/>
    <s v="nonfiction"/>
    <x v="735"/>
    <d v="1974-12-10T19:42:00"/>
  </r>
  <r>
    <n v="818"/>
    <s v="Martinez LLC"/>
    <s v="Automated local secured line"/>
    <n v="700"/>
    <n v="7664"/>
    <x v="1"/>
    <n v="69"/>
    <s v="US"/>
    <s v="USD"/>
    <n v="1548050400"/>
    <n v="1549173600"/>
    <b v="0"/>
    <b v="1"/>
    <s v="theater/plays"/>
    <n v="1094.8571428571429"/>
    <n v="111.07246376811594"/>
    <x v="3"/>
    <s v="plays"/>
    <x v="736"/>
    <d v="1974-11-29T00:36:00"/>
  </r>
  <r>
    <n v="819"/>
    <s v="Buck-Khan"/>
    <s v="Integrated bandwidth-monitored alliance"/>
    <n v="8900"/>
    <n v="4509"/>
    <x v="0"/>
    <n v="47"/>
    <s v="US"/>
    <s v="USD"/>
    <n v="1353736800"/>
    <n v="1355032800"/>
    <b v="1"/>
    <b v="0"/>
    <s v="games/video games"/>
    <n v="50.662921348314605"/>
    <n v="95.936170212765958"/>
    <x v="6"/>
    <s v="video games"/>
    <x v="737"/>
    <d v="1974-04-18T07:48:00"/>
  </r>
  <r>
    <n v="820"/>
    <s v="Valdez, Williams and Meyer"/>
    <s v="Cross-group heuristic forecast"/>
    <n v="1500"/>
    <n v="12009"/>
    <x v="1"/>
    <n v="279"/>
    <s v="GB"/>
    <s v="GBP"/>
    <n v="1532840400"/>
    <n v="1533963600"/>
    <b v="0"/>
    <b v="1"/>
    <s v="music/rock"/>
    <n v="800.6"/>
    <n v="43.043010752688176"/>
    <x v="1"/>
    <s v="rock"/>
    <x v="192"/>
    <d v="1974-11-11T10:06:00"/>
  </r>
  <r>
    <n v="821"/>
    <s v="Alvarez-Andrews"/>
    <s v="Extended impactful secured line"/>
    <n v="4900"/>
    <n v="14273"/>
    <x v="1"/>
    <n v="210"/>
    <s v="US"/>
    <s v="USD"/>
    <n v="1488261600"/>
    <n v="1489381200"/>
    <b v="0"/>
    <b v="0"/>
    <s v="film &amp; video/documentary"/>
    <n v="291.28571428571428"/>
    <n v="67.966666666666669"/>
    <x v="4"/>
    <s v="documentary"/>
    <x v="738"/>
    <d v="1974-09-20T19:42:00"/>
  </r>
  <r>
    <n v="822"/>
    <s v="Stewart and Sons"/>
    <s v="Distributed optimizing protocol"/>
    <n v="54000"/>
    <n v="188982"/>
    <x v="1"/>
    <n v="2100"/>
    <s v="US"/>
    <s v="USD"/>
    <n v="1393567200"/>
    <n v="1395032400"/>
    <b v="0"/>
    <b v="0"/>
    <s v="music/rock"/>
    <n v="349.9666666666667"/>
    <n v="89.991428571428571"/>
    <x v="1"/>
    <s v="rock"/>
    <x v="739"/>
    <d v="1974-06-03T14:54:00"/>
  </r>
  <r>
    <n v="823"/>
    <s v="Dyer Inc"/>
    <s v="Secured well-modulated system engine"/>
    <n v="4100"/>
    <n v="14640"/>
    <x v="1"/>
    <n v="252"/>
    <s v="US"/>
    <s v="USD"/>
    <n v="1410325200"/>
    <n v="1412485200"/>
    <b v="1"/>
    <b v="1"/>
    <s v="music/rock"/>
    <n v="357.07317073170731"/>
    <n v="58.095238095238095"/>
    <x v="1"/>
    <s v="rock"/>
    <x v="613"/>
    <d v="1974-06-23T19:42:00"/>
  </r>
  <r>
    <n v="824"/>
    <s v="Anderson, Williams and Cox"/>
    <s v="Streamlined national benchmark"/>
    <n v="85000"/>
    <n v="107516"/>
    <x v="1"/>
    <n v="1280"/>
    <s v="US"/>
    <s v="USD"/>
    <n v="1276923600"/>
    <n v="1279688400"/>
    <b v="0"/>
    <b v="1"/>
    <s v="publishing/nonfiction"/>
    <n v="126.48941176470588"/>
    <n v="83.996875000000003"/>
    <x v="5"/>
    <s v="nonfiction"/>
    <x v="740"/>
    <d v="1974-01-21T02:54:00"/>
  </r>
  <r>
    <n v="825"/>
    <s v="Solomon PLC"/>
    <s v="Open-architected 24/7 infrastructure"/>
    <n v="3600"/>
    <n v="13950"/>
    <x v="1"/>
    <n v="157"/>
    <s v="GB"/>
    <s v="GBP"/>
    <n v="1500958800"/>
    <n v="1501995600"/>
    <b v="0"/>
    <b v="0"/>
    <s v="film &amp; video/shorts"/>
    <n v="387.5"/>
    <n v="88.853503184713375"/>
    <x v="4"/>
    <s v="shorts"/>
    <x v="145"/>
    <d v="1974-10-05T10:06:00"/>
  </r>
  <r>
    <n v="826"/>
    <s v="Miller-Hubbard"/>
    <s v="Digitized 6thgeneration Local Area Network"/>
    <n v="2800"/>
    <n v="12797"/>
    <x v="1"/>
    <n v="194"/>
    <s v="US"/>
    <s v="USD"/>
    <n v="1292220000"/>
    <n v="1294639200"/>
    <b v="0"/>
    <b v="1"/>
    <s v="theater/plays"/>
    <n v="457.03571428571428"/>
    <n v="65.963917525773198"/>
    <x v="3"/>
    <s v="plays"/>
    <x v="741"/>
    <d v="1974-02-07T10:12:00"/>
  </r>
  <r>
    <n v="827"/>
    <s v="Miranda, Martinez and Lowery"/>
    <s v="Innovative actuating artificial intelligence"/>
    <n v="2300"/>
    <n v="6134"/>
    <x v="1"/>
    <n v="82"/>
    <s v="AU"/>
    <s v="AUD"/>
    <n v="1304398800"/>
    <n v="1305435600"/>
    <b v="0"/>
    <b v="1"/>
    <s v="film &amp; video/drama"/>
    <n v="266.69565217391306"/>
    <n v="74.804878048780495"/>
    <x v="4"/>
    <s v="drama"/>
    <x v="742"/>
    <d v="1974-02-19T22:06:00"/>
  </r>
  <r>
    <n v="828"/>
    <s v="Munoz, Cherry and Bell"/>
    <s v="Cross-platform reciprocal budgetary management"/>
    <n v="7100"/>
    <n v="4899"/>
    <x v="0"/>
    <n v="70"/>
    <s v="US"/>
    <s v="USD"/>
    <n v="1535432400"/>
    <n v="1537592400"/>
    <b v="0"/>
    <b v="0"/>
    <s v="theater/plays"/>
    <n v="69"/>
    <n v="69.98571428571428"/>
    <x v="3"/>
    <s v="plays"/>
    <x v="202"/>
    <d v="1974-11-15T14:54:00"/>
  </r>
  <r>
    <n v="829"/>
    <s v="Baker-Higgins"/>
    <s v="Vision-oriented scalable portal"/>
    <n v="9600"/>
    <n v="4929"/>
    <x v="0"/>
    <n v="154"/>
    <s v="US"/>
    <s v="USD"/>
    <n v="1433826000"/>
    <n v="1435122000"/>
    <b v="0"/>
    <b v="0"/>
    <s v="theater/plays"/>
    <n v="51.34375"/>
    <n v="32.006493506493506"/>
    <x v="3"/>
    <s v="plays"/>
    <x v="743"/>
    <d v="1974-07-20T00:30:00"/>
  </r>
  <r>
    <n v="830"/>
    <s v="Johnson, Turner and Carroll"/>
    <s v="Persevering zero administration knowledge user"/>
    <n v="121600"/>
    <n v="1424"/>
    <x v="0"/>
    <n v="22"/>
    <s v="US"/>
    <s v="USD"/>
    <n v="1514959200"/>
    <n v="1520056800"/>
    <b v="0"/>
    <b v="0"/>
    <s v="theater/plays"/>
    <n v="1.1710526315789473"/>
    <n v="64.727272727272734"/>
    <x v="3"/>
    <s v="plays"/>
    <x v="744"/>
    <d v="1974-10-26T07:48:00"/>
  </r>
  <r>
    <n v="831"/>
    <s v="Ward PLC"/>
    <s v="Front-line bottom-line Graphic Interface"/>
    <n v="97100"/>
    <n v="105817"/>
    <x v="1"/>
    <n v="4233"/>
    <s v="US"/>
    <s v="USD"/>
    <n v="1332738000"/>
    <n v="1335675600"/>
    <b v="0"/>
    <b v="0"/>
    <s v="photography/photography books"/>
    <n v="108.97734294541709"/>
    <n v="24.998110087408456"/>
    <x v="7"/>
    <s v="photography books"/>
    <x v="745"/>
    <d v="1974-03-26T22:06:00"/>
  </r>
  <r>
    <n v="832"/>
    <s v="Bradley, Beck and Mayo"/>
    <s v="Synergized fault-tolerant hierarchy"/>
    <n v="43200"/>
    <n v="136156"/>
    <x v="1"/>
    <n v="1297"/>
    <s v="DK"/>
    <s v="DKK"/>
    <n v="1445490000"/>
    <n v="1448431200"/>
    <b v="1"/>
    <b v="0"/>
    <s v="publishing/translations"/>
    <n v="315.17592592592592"/>
    <n v="104.97764070932922"/>
    <x v="5"/>
    <s v="translations"/>
    <x v="746"/>
    <d v="1974-08-04T10:12:00"/>
  </r>
  <r>
    <n v="833"/>
    <s v="Levine, Martin and Hernandez"/>
    <s v="Expanded asynchronous groupware"/>
    <n v="6800"/>
    <n v="10723"/>
    <x v="1"/>
    <n v="165"/>
    <s v="DK"/>
    <s v="DKK"/>
    <n v="1297663200"/>
    <n v="1298613600"/>
    <b v="0"/>
    <b v="0"/>
    <s v="publishing/translations"/>
    <n v="157.69117647058823"/>
    <n v="64.987878787878785"/>
    <x v="5"/>
    <s v="translations"/>
    <x v="747"/>
    <d v="1974-02-12T00:36:00"/>
  </r>
  <r>
    <n v="834"/>
    <s v="Gallegos, Wagner and Gaines"/>
    <s v="Expanded fault-tolerant emulation"/>
    <n v="7300"/>
    <n v="11228"/>
    <x v="1"/>
    <n v="119"/>
    <s v="US"/>
    <s v="USD"/>
    <n v="1371963600"/>
    <n v="1372482000"/>
    <b v="0"/>
    <b v="0"/>
    <s v="theater/plays"/>
    <n v="153.8082191780822"/>
    <n v="94.352941176470594"/>
    <x v="3"/>
    <s v="plays"/>
    <x v="362"/>
    <d v="1974-05-08T12:30:00"/>
  </r>
  <r>
    <n v="835"/>
    <s v="Hodges, Smith and Kelly"/>
    <s v="Future-proofed 24hour model"/>
    <n v="86200"/>
    <n v="77355"/>
    <x v="0"/>
    <n v="1758"/>
    <s v="US"/>
    <s v="USD"/>
    <n v="1425103200"/>
    <n v="1425621600"/>
    <b v="0"/>
    <b v="0"/>
    <s v="technology/web"/>
    <n v="89.738979118329468"/>
    <n v="44.001706484641637"/>
    <x v="2"/>
    <s v="web"/>
    <x v="748"/>
    <d v="1974-07-09T00:36:00"/>
  </r>
  <r>
    <n v="836"/>
    <s v="Macias Inc"/>
    <s v="Optimized didactic intranet"/>
    <n v="8100"/>
    <n v="6086"/>
    <x v="0"/>
    <n v="94"/>
    <s v="US"/>
    <s v="USD"/>
    <n v="1265349600"/>
    <n v="1266300000"/>
    <b v="0"/>
    <b v="0"/>
    <s v="music/indie rock"/>
    <n v="75.135802469135797"/>
    <n v="64.744680851063833"/>
    <x v="1"/>
    <s v="indie rock"/>
    <x v="749"/>
    <d v="1974-01-05T15:00:00"/>
  </r>
  <r>
    <n v="837"/>
    <s v="Cook-Ortiz"/>
    <s v="Right-sized dedicated standardization"/>
    <n v="17700"/>
    <n v="150960"/>
    <x v="1"/>
    <n v="1797"/>
    <s v="US"/>
    <s v="USD"/>
    <n v="1301202000"/>
    <n v="1305867600"/>
    <b v="0"/>
    <b v="0"/>
    <s v="music/jazz"/>
    <n v="852.88135593220341"/>
    <n v="84.00667779632721"/>
    <x v="1"/>
    <s v="jazz"/>
    <x v="643"/>
    <d v="1974-02-20T10:06:00"/>
  </r>
  <r>
    <n v="838"/>
    <s v="Jordan-Fischer"/>
    <s v="Vision-oriented high-level extranet"/>
    <n v="6400"/>
    <n v="8890"/>
    <x v="1"/>
    <n v="261"/>
    <s v="US"/>
    <s v="USD"/>
    <n v="1538024400"/>
    <n v="1538802000"/>
    <b v="0"/>
    <b v="0"/>
    <s v="theater/plays"/>
    <n v="138.90625"/>
    <n v="34.061302681992338"/>
    <x v="3"/>
    <s v="plays"/>
    <x v="750"/>
    <d v="1974-11-17T00:30:00"/>
  </r>
  <r>
    <n v="839"/>
    <s v="Pierce-Ramirez"/>
    <s v="Organized scalable initiative"/>
    <n v="7700"/>
    <n v="14644"/>
    <x v="1"/>
    <n v="157"/>
    <s v="US"/>
    <s v="USD"/>
    <n v="1395032400"/>
    <n v="1398920400"/>
    <b v="0"/>
    <b v="1"/>
    <s v="film &amp; video/documentary"/>
    <n v="190.18181818181819"/>
    <n v="93.273885350318466"/>
    <x v="4"/>
    <s v="documentary"/>
    <x v="751"/>
    <d v="1974-06-08T02:54:00"/>
  </r>
  <r>
    <n v="840"/>
    <s v="Howell and Sons"/>
    <s v="Enhanced regional moderator"/>
    <n v="116300"/>
    <n v="116583"/>
    <x v="1"/>
    <n v="3533"/>
    <s v="US"/>
    <s v="USD"/>
    <n v="1405486800"/>
    <n v="1405659600"/>
    <b v="0"/>
    <b v="1"/>
    <s v="theater/plays"/>
    <n v="100.24333619948409"/>
    <n v="32.998301726577978"/>
    <x v="3"/>
    <s v="plays"/>
    <x v="752"/>
    <d v="1974-06-15T22:06:00"/>
  </r>
  <r>
    <n v="841"/>
    <s v="Garcia, Dunn and Richardson"/>
    <s v="Automated even-keeled emulation"/>
    <n v="9100"/>
    <n v="12991"/>
    <x v="1"/>
    <n v="155"/>
    <s v="US"/>
    <s v="USD"/>
    <n v="1455861600"/>
    <n v="1457244000"/>
    <b v="0"/>
    <b v="0"/>
    <s v="technology/web"/>
    <n v="142.75824175824175"/>
    <n v="83.812903225806451"/>
    <x v="2"/>
    <s v="web"/>
    <x v="753"/>
    <d v="1974-08-14T15:00:00"/>
  </r>
  <r>
    <n v="842"/>
    <s v="Lawson and Sons"/>
    <s v="Reverse-engineered multi-tasking product"/>
    <n v="1500"/>
    <n v="8447"/>
    <x v="1"/>
    <n v="132"/>
    <s v="IT"/>
    <s v="EUR"/>
    <n v="1529038800"/>
    <n v="1529298000"/>
    <b v="0"/>
    <b v="0"/>
    <s v="technology/wearables"/>
    <n v="563.13333333333333"/>
    <n v="63.992424242424242"/>
    <x v="2"/>
    <s v="wearables"/>
    <x v="754"/>
    <d v="1974-11-06T00:30:00"/>
  </r>
  <r>
    <n v="843"/>
    <s v="Porter-Hicks"/>
    <s v="De-engineered next generation parallelism"/>
    <n v="8800"/>
    <n v="2703"/>
    <x v="0"/>
    <n v="33"/>
    <s v="US"/>
    <s v="USD"/>
    <n v="1535259600"/>
    <n v="1535778000"/>
    <b v="0"/>
    <b v="0"/>
    <s v="photography/photography books"/>
    <n v="30.715909090909086"/>
    <n v="81.909090909090907"/>
    <x v="7"/>
    <s v="photography books"/>
    <x v="755"/>
    <d v="1974-11-13T12:30:00"/>
  </r>
  <r>
    <n v="844"/>
    <s v="Rodriguez-Hansen"/>
    <s v="Intuitive cohesive groupware"/>
    <n v="8800"/>
    <n v="8747"/>
    <x v="3"/>
    <n v="94"/>
    <s v="US"/>
    <s v="USD"/>
    <n v="1327212000"/>
    <n v="1327471200"/>
    <b v="0"/>
    <b v="0"/>
    <s v="film &amp; video/documentary"/>
    <n v="99.39772727272728"/>
    <n v="93.053191489361708"/>
    <x v="4"/>
    <s v="documentary"/>
    <x v="756"/>
    <d v="1974-03-17T10:12:00"/>
  </r>
  <r>
    <n v="845"/>
    <s v="Williams LLC"/>
    <s v="Up-sized high-level access"/>
    <n v="69900"/>
    <n v="138087"/>
    <x v="1"/>
    <n v="1354"/>
    <s v="GB"/>
    <s v="GBP"/>
    <n v="1526360400"/>
    <n v="1529557200"/>
    <b v="0"/>
    <b v="0"/>
    <s v="technology/web"/>
    <n v="197.54935622317598"/>
    <n v="101.98449039881831"/>
    <x v="2"/>
    <s v="web"/>
    <x v="757"/>
    <d v="1974-11-06T07:42:00"/>
  </r>
  <r>
    <n v="846"/>
    <s v="Cooper, Stanley and Bryant"/>
    <s v="Phased empowering success"/>
    <n v="1000"/>
    <n v="5085"/>
    <x v="1"/>
    <n v="48"/>
    <s v="US"/>
    <s v="USD"/>
    <n v="1532149200"/>
    <n v="1535259600"/>
    <b v="1"/>
    <b v="1"/>
    <s v="technology/web"/>
    <n v="508.5"/>
    <n v="105.9375"/>
    <x v="2"/>
    <s v="web"/>
    <x v="758"/>
    <d v="1974-11-12T22:06:00"/>
  </r>
  <r>
    <n v="847"/>
    <s v="Miller, Glenn and Adams"/>
    <s v="Distributed actuating project"/>
    <n v="4700"/>
    <n v="11174"/>
    <x v="1"/>
    <n v="110"/>
    <s v="US"/>
    <s v="USD"/>
    <n v="1515304800"/>
    <n v="1515564000"/>
    <b v="0"/>
    <b v="0"/>
    <s v="food/food trucks"/>
    <n v="237.74468085106383"/>
    <n v="101.58181818181818"/>
    <x v="0"/>
    <s v="food trucks"/>
    <x v="759"/>
    <d v="1974-10-21T03:00:00"/>
  </r>
  <r>
    <n v="848"/>
    <s v="Cole, Salazar and Moreno"/>
    <s v="Robust motivating orchestration"/>
    <n v="3200"/>
    <n v="10831"/>
    <x v="1"/>
    <n v="172"/>
    <s v="US"/>
    <s v="USD"/>
    <n v="1276318800"/>
    <n v="1277096400"/>
    <b v="0"/>
    <b v="0"/>
    <s v="film &amp; video/drama"/>
    <n v="338.46875"/>
    <n v="62.970930232558139"/>
    <x v="4"/>
    <s v="drama"/>
    <x v="760"/>
    <d v="1974-01-18T02:54:00"/>
  </r>
  <r>
    <n v="849"/>
    <s v="Jones-Ryan"/>
    <s v="Vision-oriented uniform instruction set"/>
    <n v="6700"/>
    <n v="8917"/>
    <x v="1"/>
    <n v="307"/>
    <s v="US"/>
    <s v="USD"/>
    <n v="1328767200"/>
    <n v="1329026400"/>
    <b v="0"/>
    <b v="1"/>
    <s v="music/indie rock"/>
    <n v="133.08955223880596"/>
    <n v="29.045602605863191"/>
    <x v="1"/>
    <s v="indie rock"/>
    <x v="761"/>
    <d v="1974-03-19T05:24:00"/>
  </r>
  <r>
    <n v="850"/>
    <s v="Hood, Perez and Meadows"/>
    <s v="Cross-group upward-trending hierarchy"/>
    <n v="100"/>
    <n v="1"/>
    <x v="0"/>
    <n v="1"/>
    <s v="US"/>
    <s v="USD"/>
    <n v="1321682400"/>
    <n v="1322978400"/>
    <b v="1"/>
    <b v="0"/>
    <s v="music/rock"/>
    <n v="1"/>
    <n v="1"/>
    <x v="1"/>
    <s v="rock"/>
    <x v="762"/>
    <d v="1974-03-12T05:24:00"/>
  </r>
  <r>
    <n v="851"/>
    <s v="Bright and Sons"/>
    <s v="Object-based needs-based info-mediaries"/>
    <n v="6000"/>
    <n v="12468"/>
    <x v="1"/>
    <n v="160"/>
    <s v="US"/>
    <s v="USD"/>
    <n v="1335934800"/>
    <n v="1338786000"/>
    <b v="0"/>
    <b v="0"/>
    <s v="music/electric music"/>
    <n v="207.79999999999998"/>
    <n v="77.924999999999997"/>
    <x v="1"/>
    <s v="electric music"/>
    <x v="444"/>
    <d v="1974-03-30T12:30:00"/>
  </r>
  <r>
    <n v="852"/>
    <s v="Brady Ltd"/>
    <s v="Open-source reciprocal standardization"/>
    <n v="4900"/>
    <n v="2505"/>
    <x v="0"/>
    <n v="31"/>
    <s v="US"/>
    <s v="USD"/>
    <n v="1310792400"/>
    <n v="1311656400"/>
    <b v="0"/>
    <b v="1"/>
    <s v="games/video games"/>
    <n v="51.122448979591837"/>
    <n v="80.806451612903231"/>
    <x v="6"/>
    <s v="video games"/>
    <x v="763"/>
    <d v="1974-02-27T02:54:00"/>
  </r>
  <r>
    <n v="853"/>
    <s v="Collier LLC"/>
    <s v="Secured well-modulated projection"/>
    <n v="17100"/>
    <n v="111502"/>
    <x v="1"/>
    <n v="1467"/>
    <s v="CA"/>
    <s v="CAD"/>
    <n v="1308546000"/>
    <n v="1308978000"/>
    <b v="0"/>
    <b v="1"/>
    <s v="music/indie rock"/>
    <n v="652.05847953216369"/>
    <n v="76.006816632583508"/>
    <x v="1"/>
    <s v="indie rock"/>
    <x v="764"/>
    <d v="1974-02-24T00:30:00"/>
  </r>
  <r>
    <n v="854"/>
    <s v="Campbell, Thomas and Obrien"/>
    <s v="Multi-channeled secondary middleware"/>
    <n v="171000"/>
    <n v="194309"/>
    <x v="1"/>
    <n v="2662"/>
    <s v="CA"/>
    <s v="CAD"/>
    <n v="1574056800"/>
    <n v="1576389600"/>
    <b v="0"/>
    <b v="0"/>
    <s v="publishing/fiction"/>
    <n v="113.63099415204678"/>
    <n v="72.993613824192337"/>
    <x v="5"/>
    <s v="fiction"/>
    <x v="765"/>
    <d v="1974-12-30T12:36:00"/>
  </r>
  <r>
    <n v="855"/>
    <s v="Moses-Terry"/>
    <s v="Horizontal clear-thinking framework"/>
    <n v="23400"/>
    <n v="23956"/>
    <x v="1"/>
    <n v="452"/>
    <s v="AU"/>
    <s v="AUD"/>
    <n v="1308373200"/>
    <n v="1311051600"/>
    <b v="0"/>
    <b v="0"/>
    <s v="theater/plays"/>
    <n v="102.37606837606839"/>
    <n v="53"/>
    <x v="3"/>
    <s v="plays"/>
    <x v="766"/>
    <d v="1974-02-26T10:06:00"/>
  </r>
  <r>
    <n v="856"/>
    <s v="Williams and Sons"/>
    <s v="Profound composite core"/>
    <n v="2400"/>
    <n v="8558"/>
    <x v="1"/>
    <n v="158"/>
    <s v="US"/>
    <s v="USD"/>
    <n v="1335243600"/>
    <n v="1336712400"/>
    <b v="0"/>
    <b v="0"/>
    <s v="food/food trucks"/>
    <n v="356.58333333333331"/>
    <n v="54.164556962025316"/>
    <x v="0"/>
    <s v="food trucks"/>
    <x v="767"/>
    <d v="1974-03-28T02:54:00"/>
  </r>
  <r>
    <n v="857"/>
    <s v="Miranda, Gray and Hale"/>
    <s v="Programmable disintermediate matrices"/>
    <n v="5300"/>
    <n v="7413"/>
    <x v="1"/>
    <n v="225"/>
    <s v="CH"/>
    <s v="CHF"/>
    <n v="1328421600"/>
    <n v="1330408800"/>
    <b v="1"/>
    <b v="0"/>
    <s v="film &amp; video/shorts"/>
    <n v="139.86792452830187"/>
    <n v="32.946666666666665"/>
    <x v="4"/>
    <s v="shorts"/>
    <x v="768"/>
    <d v="1974-03-20T19:48:00"/>
  </r>
  <r>
    <n v="858"/>
    <s v="Ayala, Crawford and Taylor"/>
    <s v="Realigned 5thgeneration knowledge user"/>
    <n v="4000"/>
    <n v="2778"/>
    <x v="0"/>
    <n v="35"/>
    <s v="US"/>
    <s v="USD"/>
    <n v="1524286800"/>
    <n v="1524891600"/>
    <b v="1"/>
    <b v="0"/>
    <s v="food/food trucks"/>
    <n v="69.45"/>
    <n v="79.371428571428567"/>
    <x v="0"/>
    <s v="food trucks"/>
    <x v="769"/>
    <d v="1974-10-31T22:06:00"/>
  </r>
  <r>
    <n v="859"/>
    <s v="Martinez Ltd"/>
    <s v="Multi-layered upward-trending groupware"/>
    <n v="7300"/>
    <n v="2594"/>
    <x v="0"/>
    <n v="63"/>
    <s v="US"/>
    <s v="USD"/>
    <n v="1362117600"/>
    <n v="1363669200"/>
    <b v="0"/>
    <b v="1"/>
    <s v="theater/plays"/>
    <n v="35.534246575342465"/>
    <n v="41.174603174603178"/>
    <x v="3"/>
    <s v="plays"/>
    <x v="770"/>
    <d v="1974-04-28T07:42:00"/>
  </r>
  <r>
    <n v="860"/>
    <s v="Lee PLC"/>
    <s v="Re-contextualized leadingedge firmware"/>
    <n v="2000"/>
    <n v="5033"/>
    <x v="1"/>
    <n v="65"/>
    <s v="US"/>
    <s v="USD"/>
    <n v="1550556000"/>
    <n v="1551420000"/>
    <b v="0"/>
    <b v="1"/>
    <s v="technology/wearables"/>
    <n v="251.65"/>
    <n v="77.430769230769229"/>
    <x v="2"/>
    <s v="wearables"/>
    <x v="771"/>
    <d v="1974-12-01T15:00:00"/>
  </r>
  <r>
    <n v="861"/>
    <s v="Young, Ramsey and Powell"/>
    <s v="Devolved disintermediate analyzer"/>
    <n v="8800"/>
    <n v="9317"/>
    <x v="1"/>
    <n v="163"/>
    <s v="US"/>
    <s v="USD"/>
    <n v="1269147600"/>
    <n v="1269838800"/>
    <b v="0"/>
    <b v="0"/>
    <s v="theater/plays"/>
    <n v="105.87500000000001"/>
    <n v="57.159509202453989"/>
    <x v="3"/>
    <s v="plays"/>
    <x v="772"/>
    <d v="1974-01-09T17:18:00"/>
  </r>
  <r>
    <n v="862"/>
    <s v="Lewis and Sons"/>
    <s v="Profound disintermediate open system"/>
    <n v="3500"/>
    <n v="6560"/>
    <x v="1"/>
    <n v="85"/>
    <s v="US"/>
    <s v="USD"/>
    <n v="1312174800"/>
    <n v="1312520400"/>
    <b v="0"/>
    <b v="0"/>
    <s v="theater/plays"/>
    <n v="187.42857142857144"/>
    <n v="77.17647058823529"/>
    <x v="3"/>
    <s v="plays"/>
    <x v="773"/>
    <d v="1974-02-28T02:54:00"/>
  </r>
  <r>
    <n v="863"/>
    <s v="Davis-Johnson"/>
    <s v="Automated reciprocal protocol"/>
    <n v="1400"/>
    <n v="5415"/>
    <x v="1"/>
    <n v="217"/>
    <s v="US"/>
    <s v="USD"/>
    <n v="1434517200"/>
    <n v="1436504400"/>
    <b v="0"/>
    <b v="1"/>
    <s v="film &amp; video/television"/>
    <n v="386.78571428571428"/>
    <n v="24.953917050691246"/>
    <x v="4"/>
    <s v="television"/>
    <x v="774"/>
    <d v="1974-07-21T14:54:00"/>
  </r>
  <r>
    <n v="864"/>
    <s v="Stevenson-Thompson"/>
    <s v="Automated static workforce"/>
    <n v="4200"/>
    <n v="14577"/>
    <x v="1"/>
    <n v="150"/>
    <s v="US"/>
    <s v="USD"/>
    <n v="1471582800"/>
    <n v="1472014800"/>
    <b v="0"/>
    <b v="0"/>
    <s v="film &amp; video/shorts"/>
    <n v="347.07142857142856"/>
    <n v="97.18"/>
    <x v="4"/>
    <s v="shorts"/>
    <x v="775"/>
    <d v="1974-08-31T17:18:00"/>
  </r>
  <r>
    <n v="865"/>
    <s v="Ellis, Smith and Armstrong"/>
    <s v="Horizontal attitude-oriented help-desk"/>
    <n v="81000"/>
    <n v="150515"/>
    <x v="1"/>
    <n v="3272"/>
    <s v="US"/>
    <s v="USD"/>
    <n v="1410757200"/>
    <n v="1411534800"/>
    <b v="0"/>
    <b v="0"/>
    <s v="theater/plays"/>
    <n v="185.82098765432099"/>
    <n v="46.000916870415651"/>
    <x v="3"/>
    <s v="plays"/>
    <x v="776"/>
    <d v="1974-06-22T17:18:00"/>
  </r>
  <r>
    <n v="866"/>
    <s v="Jackson-Brown"/>
    <s v="Versatile 5thgeneration matrices"/>
    <n v="182800"/>
    <n v="79045"/>
    <x v="3"/>
    <n v="898"/>
    <s v="US"/>
    <s v="USD"/>
    <n v="1304830800"/>
    <n v="1304917200"/>
    <b v="0"/>
    <b v="0"/>
    <s v="photography/photography books"/>
    <n v="43.241247264770237"/>
    <n v="88.023385300668153"/>
    <x v="7"/>
    <s v="photography books"/>
    <x v="777"/>
    <d v="1974-02-19T07:42:00"/>
  </r>
  <r>
    <n v="867"/>
    <s v="Kane, Pruitt and Rivera"/>
    <s v="Cross-platform next generation service-desk"/>
    <n v="4800"/>
    <n v="7797"/>
    <x v="1"/>
    <n v="300"/>
    <s v="US"/>
    <s v="USD"/>
    <n v="1539061200"/>
    <n v="1539579600"/>
    <b v="0"/>
    <b v="0"/>
    <s v="food/food trucks"/>
    <n v="162.4375"/>
    <n v="25.99"/>
    <x v="0"/>
    <s v="food trucks"/>
    <x v="778"/>
    <d v="1974-11-17T22:06:00"/>
  </r>
  <r>
    <n v="868"/>
    <s v="Wood, Buckley and Meza"/>
    <s v="Front-line web-enabled installation"/>
    <n v="7000"/>
    <n v="12939"/>
    <x v="1"/>
    <n v="126"/>
    <s v="US"/>
    <s v="USD"/>
    <n v="1381554000"/>
    <n v="1382504400"/>
    <b v="0"/>
    <b v="0"/>
    <s v="theater/plays"/>
    <n v="184.84285714285716"/>
    <n v="102.69047619047619"/>
    <x v="3"/>
    <s v="plays"/>
    <x v="779"/>
    <d v="1974-05-20T02:54:00"/>
  </r>
  <r>
    <n v="869"/>
    <s v="Brown-Williams"/>
    <s v="Multi-channeled responsive product"/>
    <n v="161900"/>
    <n v="38376"/>
    <x v="0"/>
    <n v="526"/>
    <s v="US"/>
    <s v="USD"/>
    <n v="1277096400"/>
    <n v="1278306000"/>
    <b v="0"/>
    <b v="0"/>
    <s v="film &amp; video/drama"/>
    <n v="23.703520691785052"/>
    <n v="72.958174904942965"/>
    <x v="4"/>
    <s v="drama"/>
    <x v="780"/>
    <d v="1974-01-19T12:30:00"/>
  </r>
  <r>
    <n v="870"/>
    <s v="Hansen-Austin"/>
    <s v="Adaptive demand-driven encryption"/>
    <n v="7700"/>
    <n v="6920"/>
    <x v="0"/>
    <n v="121"/>
    <s v="US"/>
    <s v="USD"/>
    <n v="1440392400"/>
    <n v="1442552400"/>
    <b v="0"/>
    <b v="0"/>
    <s v="theater/plays"/>
    <n v="89.870129870129873"/>
    <n v="57.190082644628099"/>
    <x v="3"/>
    <s v="plays"/>
    <x v="335"/>
    <d v="1974-07-28T14:54:00"/>
  </r>
  <r>
    <n v="871"/>
    <s v="Santana-George"/>
    <s v="Re-engineered client-driven knowledge user"/>
    <n v="71500"/>
    <n v="194912"/>
    <x v="1"/>
    <n v="2320"/>
    <s v="US"/>
    <s v="USD"/>
    <n v="1509512400"/>
    <n v="1511071200"/>
    <b v="0"/>
    <b v="1"/>
    <s v="theater/plays"/>
    <n v="272.6041958041958"/>
    <n v="84.013793103448279"/>
    <x v="3"/>
    <s v="plays"/>
    <x v="535"/>
    <d v="1974-10-15T22:12:00"/>
  </r>
  <r>
    <n v="872"/>
    <s v="Davis LLC"/>
    <s v="Compatible logistical paradigm"/>
    <n v="4700"/>
    <n v="7992"/>
    <x v="1"/>
    <n v="81"/>
    <s v="AU"/>
    <s v="AUD"/>
    <n v="1535950800"/>
    <n v="1536382800"/>
    <b v="0"/>
    <b v="0"/>
    <s v="film &amp; video/science fiction"/>
    <n v="170.04255319148936"/>
    <n v="98.666666666666671"/>
    <x v="4"/>
    <s v="science fiction"/>
    <x v="270"/>
    <d v="1974-11-14T05:18:00"/>
  </r>
  <r>
    <n v="873"/>
    <s v="Vazquez, Ochoa and Clark"/>
    <s v="Intuitive value-added installation"/>
    <n v="42100"/>
    <n v="79268"/>
    <x v="1"/>
    <n v="1887"/>
    <s v="US"/>
    <s v="USD"/>
    <n v="1389160800"/>
    <n v="1389592800"/>
    <b v="0"/>
    <b v="0"/>
    <s v="photography/photography books"/>
    <n v="188.28503562945369"/>
    <n v="42.007419183889773"/>
    <x v="7"/>
    <s v="photography books"/>
    <x v="781"/>
    <d v="1974-05-28T07:48:00"/>
  </r>
  <r>
    <n v="874"/>
    <s v="Chung-Nguyen"/>
    <s v="Managed discrete parallelism"/>
    <n v="40200"/>
    <n v="139468"/>
    <x v="1"/>
    <n v="4358"/>
    <s v="US"/>
    <s v="USD"/>
    <n v="1271998800"/>
    <n v="1275282000"/>
    <b v="0"/>
    <b v="1"/>
    <s v="photography/photography books"/>
    <n v="346.93532338308455"/>
    <n v="32.002753556677376"/>
    <x v="7"/>
    <s v="photography books"/>
    <x v="782"/>
    <d v="1974-01-16T00:30:00"/>
  </r>
  <r>
    <n v="875"/>
    <s v="Mueller-Harmon"/>
    <s v="Implemented tangible approach"/>
    <n v="7900"/>
    <n v="5465"/>
    <x v="0"/>
    <n v="67"/>
    <s v="US"/>
    <s v="USD"/>
    <n v="1294898400"/>
    <n v="1294984800"/>
    <b v="0"/>
    <b v="0"/>
    <s v="music/rock"/>
    <n v="69.177215189873422"/>
    <n v="81.567164179104481"/>
    <x v="1"/>
    <s v="rock"/>
    <x v="783"/>
    <d v="1974-02-07T19:48:00"/>
  </r>
  <r>
    <n v="876"/>
    <s v="Dixon, Perez and Banks"/>
    <s v="Re-engineered encompassing definition"/>
    <n v="8300"/>
    <n v="2111"/>
    <x v="0"/>
    <n v="57"/>
    <s v="CA"/>
    <s v="CAD"/>
    <n v="1559970000"/>
    <n v="1562043600"/>
    <b v="0"/>
    <b v="0"/>
    <s v="photography/photography books"/>
    <n v="25.433734939759034"/>
    <n v="37.035087719298247"/>
    <x v="7"/>
    <s v="photography books"/>
    <x v="784"/>
    <d v="1974-12-13T22:06:00"/>
  </r>
  <r>
    <n v="877"/>
    <s v="Estrada Group"/>
    <s v="Multi-lateral uniform collaboration"/>
    <n v="163600"/>
    <n v="126628"/>
    <x v="0"/>
    <n v="1229"/>
    <s v="US"/>
    <s v="USD"/>
    <n v="1469509200"/>
    <n v="1469595600"/>
    <b v="0"/>
    <b v="0"/>
    <s v="food/food trucks"/>
    <n v="77.400977995110026"/>
    <n v="103.033360455655"/>
    <x v="0"/>
    <s v="food trucks"/>
    <x v="785"/>
    <d v="1974-08-28T22:06:00"/>
  </r>
  <r>
    <n v="878"/>
    <s v="Lutz Group"/>
    <s v="Enterprise-wide foreground paradigm"/>
    <n v="2700"/>
    <n v="1012"/>
    <x v="0"/>
    <n v="12"/>
    <s v="IT"/>
    <s v="EUR"/>
    <n v="1579068000"/>
    <n v="1581141600"/>
    <b v="0"/>
    <b v="0"/>
    <s v="music/metal"/>
    <n v="37.481481481481481"/>
    <n v="84.333333333333329"/>
    <x v="1"/>
    <s v="metal"/>
    <x v="786"/>
    <d v="1975-01-05T00:36:00"/>
  </r>
  <r>
    <n v="879"/>
    <s v="Ortiz Inc"/>
    <s v="Stand-alone incremental parallelism"/>
    <n v="1000"/>
    <n v="5438"/>
    <x v="1"/>
    <n v="53"/>
    <s v="US"/>
    <s v="USD"/>
    <n v="1487743200"/>
    <n v="1488520800"/>
    <b v="0"/>
    <b v="0"/>
    <s v="publishing/nonfiction"/>
    <n v="543.79999999999995"/>
    <n v="102.60377358490567"/>
    <x v="5"/>
    <s v="nonfiction"/>
    <x v="787"/>
    <d v="1974-09-19T19:48:00"/>
  </r>
  <r>
    <n v="880"/>
    <s v="Craig, Ellis and Miller"/>
    <s v="Persevering 5thgeneration throughput"/>
    <n v="84500"/>
    <n v="193101"/>
    <x v="1"/>
    <n v="2414"/>
    <s v="US"/>
    <s v="USD"/>
    <n v="1563685200"/>
    <n v="1563858000"/>
    <b v="0"/>
    <b v="0"/>
    <s v="music/electric music"/>
    <n v="228.52189349112427"/>
    <n v="79.992129246064621"/>
    <x v="1"/>
    <s v="electric music"/>
    <x v="788"/>
    <d v="1974-12-16T00:30:00"/>
  </r>
  <r>
    <n v="881"/>
    <s v="Charles Inc"/>
    <s v="Implemented object-oriented synergy"/>
    <n v="81300"/>
    <n v="31665"/>
    <x v="0"/>
    <n v="452"/>
    <s v="US"/>
    <s v="USD"/>
    <n v="1436418000"/>
    <n v="1438923600"/>
    <b v="0"/>
    <b v="1"/>
    <s v="theater/plays"/>
    <n v="38.948339483394832"/>
    <n v="70.055309734513273"/>
    <x v="3"/>
    <s v="plays"/>
    <x v="330"/>
    <d v="1974-07-24T10:06:00"/>
  </r>
  <r>
    <n v="882"/>
    <s v="White-Rosario"/>
    <s v="Balanced demand-driven definition"/>
    <n v="800"/>
    <n v="2960"/>
    <x v="1"/>
    <n v="80"/>
    <s v="US"/>
    <s v="USD"/>
    <n v="1421820000"/>
    <n v="1422165600"/>
    <b v="0"/>
    <b v="0"/>
    <s v="theater/plays"/>
    <n v="370"/>
    <n v="37"/>
    <x v="3"/>
    <s v="plays"/>
    <x v="789"/>
    <d v="1974-07-05T00:36:00"/>
  </r>
  <r>
    <n v="883"/>
    <s v="Simmons-Villarreal"/>
    <s v="Customer-focused mobile Graphic Interface"/>
    <n v="3400"/>
    <n v="8089"/>
    <x v="1"/>
    <n v="193"/>
    <s v="US"/>
    <s v="USD"/>
    <n v="1274763600"/>
    <n v="1277874000"/>
    <b v="0"/>
    <b v="0"/>
    <s v="film &amp; video/shorts"/>
    <n v="237.91176470588232"/>
    <n v="41.911917098445599"/>
    <x v="4"/>
    <s v="shorts"/>
    <x v="790"/>
    <d v="1974-01-19T00:30:00"/>
  </r>
  <r>
    <n v="884"/>
    <s v="Strickland Group"/>
    <s v="Horizontal secondary interface"/>
    <n v="170800"/>
    <n v="109374"/>
    <x v="0"/>
    <n v="1886"/>
    <s v="US"/>
    <s v="USD"/>
    <n v="1399179600"/>
    <n v="1399352400"/>
    <b v="0"/>
    <b v="1"/>
    <s v="theater/plays"/>
    <n v="64.036299765807954"/>
    <n v="57.992576882290564"/>
    <x v="3"/>
    <s v="plays"/>
    <x v="791"/>
    <d v="1974-06-08T14:54:00"/>
  </r>
  <r>
    <n v="885"/>
    <s v="Lynch Ltd"/>
    <s v="Virtual analyzing collaboration"/>
    <n v="1800"/>
    <n v="2129"/>
    <x v="1"/>
    <n v="52"/>
    <s v="US"/>
    <s v="USD"/>
    <n v="1275800400"/>
    <n v="1279083600"/>
    <b v="0"/>
    <b v="0"/>
    <s v="theater/plays"/>
    <n v="118.27777777777777"/>
    <n v="40.942307692307693"/>
    <x v="3"/>
    <s v="plays"/>
    <x v="792"/>
    <d v="1974-01-20T10:06:00"/>
  </r>
  <r>
    <n v="886"/>
    <s v="Sanders LLC"/>
    <s v="Multi-tiered explicit focus group"/>
    <n v="150600"/>
    <n v="127745"/>
    <x v="0"/>
    <n v="1825"/>
    <s v="US"/>
    <s v="USD"/>
    <n v="1282798800"/>
    <n v="1284354000"/>
    <b v="0"/>
    <b v="0"/>
    <s v="music/indie rock"/>
    <n v="84.824037184594957"/>
    <n v="69.9972602739726"/>
    <x v="1"/>
    <s v="indie rock"/>
    <x v="793"/>
    <d v="1974-01-26T12:30:00"/>
  </r>
  <r>
    <n v="887"/>
    <s v="Cooper LLC"/>
    <s v="Multi-layered systematic knowledgebase"/>
    <n v="7800"/>
    <n v="2289"/>
    <x v="0"/>
    <n v="31"/>
    <s v="US"/>
    <s v="USD"/>
    <n v="1437109200"/>
    <n v="1441170000"/>
    <b v="0"/>
    <b v="1"/>
    <s v="theater/plays"/>
    <n v="29.346153846153843"/>
    <n v="73.838709677419359"/>
    <x v="3"/>
    <s v="plays"/>
    <x v="794"/>
    <d v="1974-07-27T00:30:00"/>
  </r>
  <r>
    <n v="888"/>
    <s v="Palmer Ltd"/>
    <s v="Reverse-engineered uniform knowledge user"/>
    <n v="5800"/>
    <n v="12174"/>
    <x v="1"/>
    <n v="290"/>
    <s v="US"/>
    <s v="USD"/>
    <n v="1491886800"/>
    <n v="1493528400"/>
    <b v="0"/>
    <b v="0"/>
    <s v="theater/plays"/>
    <n v="209.89655172413794"/>
    <n v="41.979310344827589"/>
    <x v="3"/>
    <s v="plays"/>
    <x v="795"/>
    <d v="1974-09-25T14:54:00"/>
  </r>
  <r>
    <n v="889"/>
    <s v="Santos Group"/>
    <s v="Secured dynamic capacity"/>
    <n v="5600"/>
    <n v="9508"/>
    <x v="1"/>
    <n v="122"/>
    <s v="US"/>
    <s v="USD"/>
    <n v="1394600400"/>
    <n v="1395205200"/>
    <b v="0"/>
    <b v="1"/>
    <s v="music/electric music"/>
    <n v="169.78571428571431"/>
    <n v="77.93442622950819"/>
    <x v="1"/>
    <s v="electric music"/>
    <x v="796"/>
    <d v="1974-06-03T19:42:00"/>
  </r>
  <r>
    <n v="890"/>
    <s v="Christian, Kim and Jimenez"/>
    <s v="Devolved foreground throughput"/>
    <n v="134400"/>
    <n v="155849"/>
    <x v="1"/>
    <n v="1470"/>
    <s v="US"/>
    <s v="USD"/>
    <n v="1561352400"/>
    <n v="1561438800"/>
    <b v="0"/>
    <b v="0"/>
    <s v="music/indie rock"/>
    <n v="115.95907738095239"/>
    <n v="106.01972789115646"/>
    <x v="1"/>
    <s v="indie rock"/>
    <x v="797"/>
    <d v="1974-12-13T05:18:00"/>
  </r>
  <r>
    <n v="891"/>
    <s v="Williams, Price and Hurley"/>
    <s v="Synchronized demand-driven infrastructure"/>
    <n v="3000"/>
    <n v="7758"/>
    <x v="1"/>
    <n v="165"/>
    <s v="CA"/>
    <s v="CAD"/>
    <n v="1322892000"/>
    <n v="1326693600"/>
    <b v="0"/>
    <b v="0"/>
    <s v="film &amp; video/documentary"/>
    <n v="258.59999999999997"/>
    <n v="47.018181818181816"/>
    <x v="4"/>
    <s v="documentary"/>
    <x v="798"/>
    <d v="1974-03-16T12:36:00"/>
  </r>
  <r>
    <n v="892"/>
    <s v="Anderson, Parks and Estrada"/>
    <s v="Realigned discrete structure"/>
    <n v="6000"/>
    <n v="13835"/>
    <x v="1"/>
    <n v="182"/>
    <s v="US"/>
    <s v="USD"/>
    <n v="1274418000"/>
    <n v="1277960400"/>
    <b v="0"/>
    <b v="0"/>
    <s v="publishing/translations"/>
    <n v="230.58333333333331"/>
    <n v="76.016483516483518"/>
    <x v="5"/>
    <s v="translations"/>
    <x v="799"/>
    <d v="1974-01-19T02:54:00"/>
  </r>
  <r>
    <n v="893"/>
    <s v="Collins-Martinez"/>
    <s v="Progressive grid-enabled website"/>
    <n v="8400"/>
    <n v="10770"/>
    <x v="1"/>
    <n v="199"/>
    <s v="IT"/>
    <s v="EUR"/>
    <n v="1434344400"/>
    <n v="1434690000"/>
    <b v="0"/>
    <b v="1"/>
    <s v="film &amp; video/documentary"/>
    <n v="128.21428571428572"/>
    <n v="54.120603015075375"/>
    <x v="4"/>
    <s v="documentary"/>
    <x v="800"/>
    <d v="1974-07-19T12:30:00"/>
  </r>
  <r>
    <n v="894"/>
    <s v="Barrett Inc"/>
    <s v="Organic cohesive neural-net"/>
    <n v="1700"/>
    <n v="3208"/>
    <x v="1"/>
    <n v="56"/>
    <s v="GB"/>
    <s v="GBP"/>
    <n v="1373518800"/>
    <n v="1376110800"/>
    <b v="0"/>
    <b v="1"/>
    <s v="film &amp; video/television"/>
    <n v="188.70588235294116"/>
    <n v="57.285714285714285"/>
    <x v="4"/>
    <s v="television"/>
    <x v="801"/>
    <d v="1974-05-12T17:18:00"/>
  </r>
  <r>
    <n v="895"/>
    <s v="Adams-Rollins"/>
    <s v="Integrated demand-driven info-mediaries"/>
    <n v="159800"/>
    <n v="11108"/>
    <x v="0"/>
    <n v="107"/>
    <s v="US"/>
    <s v="USD"/>
    <n v="1517637600"/>
    <n v="1518415200"/>
    <b v="0"/>
    <b v="0"/>
    <s v="theater/plays"/>
    <n v="6.9511889862327907"/>
    <n v="103.81308411214954"/>
    <x v="3"/>
    <s v="plays"/>
    <x v="802"/>
    <d v="1974-10-24T10:12:00"/>
  </r>
  <r>
    <n v="896"/>
    <s v="Wright-Bryant"/>
    <s v="Reverse-engineered client-server extranet"/>
    <n v="19800"/>
    <n v="153338"/>
    <x v="1"/>
    <n v="1460"/>
    <s v="AU"/>
    <s v="AUD"/>
    <n v="1310619600"/>
    <n v="1310878800"/>
    <b v="0"/>
    <b v="1"/>
    <s v="food/food trucks"/>
    <n v="774.43434343434342"/>
    <n v="105.02602739726028"/>
    <x v="0"/>
    <s v="food trucks"/>
    <x v="803"/>
    <d v="1974-02-26T05:18:00"/>
  </r>
  <r>
    <n v="897"/>
    <s v="Berry-Cannon"/>
    <s v="Organized discrete encoding"/>
    <n v="8800"/>
    <n v="2437"/>
    <x v="0"/>
    <n v="27"/>
    <s v="US"/>
    <s v="USD"/>
    <n v="1556427600"/>
    <n v="1556600400"/>
    <b v="0"/>
    <b v="0"/>
    <s v="theater/plays"/>
    <n v="27.693181818181817"/>
    <n v="90.259259259259252"/>
    <x v="3"/>
    <s v="plays"/>
    <x v="212"/>
    <d v="1974-12-07T14:54:00"/>
  </r>
  <r>
    <n v="898"/>
    <s v="Davis-Gonzalez"/>
    <s v="Balanced regional flexibility"/>
    <n v="179100"/>
    <n v="93991"/>
    <x v="0"/>
    <n v="1221"/>
    <s v="US"/>
    <s v="USD"/>
    <n v="1576476000"/>
    <n v="1576994400"/>
    <b v="0"/>
    <b v="0"/>
    <s v="film &amp; video/documentary"/>
    <n v="52.479620323841424"/>
    <n v="76.978705978705975"/>
    <x v="4"/>
    <s v="documentary"/>
    <x v="804"/>
    <d v="1974-12-31T05:24:00"/>
  </r>
  <r>
    <n v="899"/>
    <s v="Best-Young"/>
    <s v="Implemented multimedia time-frame"/>
    <n v="3100"/>
    <n v="12620"/>
    <x v="1"/>
    <n v="123"/>
    <s v="CH"/>
    <s v="CHF"/>
    <n v="1381122000"/>
    <n v="1382677200"/>
    <b v="0"/>
    <b v="0"/>
    <s v="music/jazz"/>
    <n v="407.09677419354841"/>
    <n v="102.60162601626017"/>
    <x v="1"/>
    <s v="jazz"/>
    <x v="805"/>
    <d v="1974-05-20T07:42:00"/>
  </r>
  <r>
    <n v="900"/>
    <s v="Powers, Smith and Deleon"/>
    <s v="Enhanced uniform service-desk"/>
    <n v="100"/>
    <n v="2"/>
    <x v="0"/>
    <n v="1"/>
    <s v="US"/>
    <s v="USD"/>
    <n v="1411102800"/>
    <n v="1411189200"/>
    <b v="0"/>
    <b v="1"/>
    <s v="technology/web"/>
    <n v="2"/>
    <n v="2"/>
    <x v="2"/>
    <s v="web"/>
    <x v="806"/>
    <d v="1974-06-22T07:42:00"/>
  </r>
  <r>
    <n v="901"/>
    <s v="Hogan Group"/>
    <s v="Versatile bottom-line definition"/>
    <n v="5600"/>
    <n v="8746"/>
    <x v="1"/>
    <n v="159"/>
    <s v="US"/>
    <s v="USD"/>
    <n v="1531803600"/>
    <n v="1534654800"/>
    <b v="0"/>
    <b v="1"/>
    <s v="music/rock"/>
    <n v="156.17857142857144"/>
    <n v="55.0062893081761"/>
    <x v="1"/>
    <s v="rock"/>
    <x v="807"/>
    <d v="1974-11-12T05:18:00"/>
  </r>
  <r>
    <n v="902"/>
    <s v="Wang, Silva and Byrd"/>
    <s v="Integrated bifurcated software"/>
    <n v="1400"/>
    <n v="3534"/>
    <x v="1"/>
    <n v="110"/>
    <s v="US"/>
    <s v="USD"/>
    <n v="1454133600"/>
    <n v="1457762400"/>
    <b v="0"/>
    <b v="0"/>
    <s v="technology/web"/>
    <n v="252.42857142857144"/>
    <n v="32.127272727272725"/>
    <x v="2"/>
    <s v="web"/>
    <x v="722"/>
    <d v="1974-08-15T05:24:00"/>
  </r>
  <r>
    <n v="903"/>
    <s v="Parker-Morris"/>
    <s v="Assimilated next generation instruction set"/>
    <n v="41000"/>
    <n v="709"/>
    <x v="2"/>
    <n v="14"/>
    <s v="US"/>
    <s v="USD"/>
    <n v="1336194000"/>
    <n v="1337490000"/>
    <b v="0"/>
    <b v="1"/>
    <s v="publishing/nonfiction"/>
    <n v="1.729268292682927"/>
    <n v="50.642857142857146"/>
    <x v="5"/>
    <s v="nonfiction"/>
    <x v="477"/>
    <d v="1974-03-29T00:30:00"/>
  </r>
  <r>
    <n v="904"/>
    <s v="Rodriguez, Johnson and Jackson"/>
    <s v="Digitized foreground array"/>
    <n v="6500"/>
    <n v="795"/>
    <x v="0"/>
    <n v="16"/>
    <s v="US"/>
    <s v="USD"/>
    <n v="1349326800"/>
    <n v="1349672400"/>
    <b v="0"/>
    <b v="0"/>
    <s v="publishing/radio &amp; podcasts"/>
    <n v="12.230769230769232"/>
    <n v="49.6875"/>
    <x v="5"/>
    <s v="radio &amp; podcasts"/>
    <x v="259"/>
    <d v="1974-04-12T02:54:00"/>
  </r>
  <r>
    <n v="905"/>
    <s v="Haynes PLC"/>
    <s v="Re-engineered clear-thinking project"/>
    <n v="7900"/>
    <n v="12955"/>
    <x v="1"/>
    <n v="236"/>
    <s v="US"/>
    <s v="USD"/>
    <n v="1379566800"/>
    <n v="1379826000"/>
    <b v="0"/>
    <b v="0"/>
    <s v="theater/plays"/>
    <n v="163.98734177215189"/>
    <n v="54.894067796610166"/>
    <x v="3"/>
    <s v="plays"/>
    <x v="9"/>
    <d v="1974-05-17T00:30:00"/>
  </r>
  <r>
    <n v="906"/>
    <s v="Hayes Group"/>
    <s v="Implemented even-keeled standardization"/>
    <n v="5500"/>
    <n v="8964"/>
    <x v="1"/>
    <n v="191"/>
    <s v="US"/>
    <s v="USD"/>
    <n v="1494651600"/>
    <n v="1497762000"/>
    <b v="1"/>
    <b v="1"/>
    <s v="film &amp; video/documentary"/>
    <n v="162.98181818181817"/>
    <n v="46.931937172774866"/>
    <x v="4"/>
    <s v="documentary"/>
    <x v="808"/>
    <d v="1974-09-30T12:30:00"/>
  </r>
  <r>
    <n v="907"/>
    <s v="White, Pena and Calhoun"/>
    <s v="Quality-focused asymmetric adapter"/>
    <n v="9100"/>
    <n v="1843"/>
    <x v="0"/>
    <n v="41"/>
    <s v="US"/>
    <s v="USD"/>
    <n v="1303880400"/>
    <n v="1304485200"/>
    <b v="0"/>
    <b v="0"/>
    <s v="theater/plays"/>
    <n v="20.252747252747252"/>
    <n v="44.951219512195124"/>
    <x v="3"/>
    <s v="plays"/>
    <x v="809"/>
    <d v="1974-02-18T19:42:00"/>
  </r>
  <r>
    <n v="908"/>
    <s v="Bryant-Pope"/>
    <s v="Networked intangible help-desk"/>
    <n v="38200"/>
    <n v="121950"/>
    <x v="1"/>
    <n v="3934"/>
    <s v="US"/>
    <s v="USD"/>
    <n v="1335934800"/>
    <n v="1336885200"/>
    <b v="0"/>
    <b v="0"/>
    <s v="games/video games"/>
    <n v="319.24083769633506"/>
    <n v="30.99898322318251"/>
    <x v="6"/>
    <s v="video games"/>
    <x v="444"/>
    <d v="1974-03-28T07:42:00"/>
  </r>
  <r>
    <n v="909"/>
    <s v="Gates, Li and Thompson"/>
    <s v="Synchronized attitude-oriented frame"/>
    <n v="1800"/>
    <n v="8621"/>
    <x v="1"/>
    <n v="80"/>
    <s v="CA"/>
    <s v="CAD"/>
    <n v="1528088400"/>
    <n v="1530421200"/>
    <b v="0"/>
    <b v="1"/>
    <s v="theater/plays"/>
    <n v="478.94444444444446"/>
    <n v="107.7625"/>
    <x v="3"/>
    <s v="plays"/>
    <x v="384"/>
    <d v="1974-11-07T07:42:00"/>
  </r>
  <r>
    <n v="910"/>
    <s v="King-Morris"/>
    <s v="Proactive incremental architecture"/>
    <n v="154500"/>
    <n v="30215"/>
    <x v="3"/>
    <n v="296"/>
    <s v="US"/>
    <s v="USD"/>
    <n v="1421906400"/>
    <n v="1421992800"/>
    <b v="0"/>
    <b v="0"/>
    <s v="theater/plays"/>
    <n v="19.556634304207122"/>
    <n v="102.07770270270271"/>
    <x v="3"/>
    <s v="plays"/>
    <x v="810"/>
    <d v="1974-07-04T19:48:00"/>
  </r>
  <r>
    <n v="911"/>
    <s v="Carter, Cole and Curtis"/>
    <s v="Cloned responsive standardization"/>
    <n v="5800"/>
    <n v="11539"/>
    <x v="1"/>
    <n v="462"/>
    <s v="US"/>
    <s v="USD"/>
    <n v="1568005200"/>
    <n v="1568178000"/>
    <b v="1"/>
    <b v="0"/>
    <s v="technology/web"/>
    <n v="198.94827586206895"/>
    <n v="24.976190476190474"/>
    <x v="2"/>
    <s v="web"/>
    <x v="811"/>
    <d v="1974-12-21T00:30:00"/>
  </r>
  <r>
    <n v="912"/>
    <s v="Sanchez-Parsons"/>
    <s v="Reduced bifurcated pricing structure"/>
    <n v="1800"/>
    <n v="14310"/>
    <x v="1"/>
    <n v="179"/>
    <s v="US"/>
    <s v="USD"/>
    <n v="1346821200"/>
    <n v="1347944400"/>
    <b v="1"/>
    <b v="0"/>
    <s v="film &amp; video/drama"/>
    <n v="795"/>
    <n v="79.944134078212286"/>
    <x v="4"/>
    <s v="drama"/>
    <x v="812"/>
    <d v="1974-04-10T02:54:00"/>
  </r>
  <r>
    <n v="913"/>
    <s v="Rivera-Pearson"/>
    <s v="Re-engineered asymmetric challenge"/>
    <n v="70200"/>
    <n v="35536"/>
    <x v="0"/>
    <n v="523"/>
    <s v="AU"/>
    <s v="AUD"/>
    <n v="1557637200"/>
    <n v="1558760400"/>
    <b v="0"/>
    <b v="0"/>
    <s v="film &amp; video/drama"/>
    <n v="50.621082621082621"/>
    <n v="67.946462715105156"/>
    <x v="4"/>
    <s v="drama"/>
    <x v="813"/>
    <d v="1974-12-10T02:54:00"/>
  </r>
  <r>
    <n v="914"/>
    <s v="Ramirez, Padilla and Barrera"/>
    <s v="Diverse client-driven conglomeration"/>
    <n v="6400"/>
    <n v="3676"/>
    <x v="0"/>
    <n v="141"/>
    <s v="GB"/>
    <s v="GBP"/>
    <n v="1375592400"/>
    <n v="1376629200"/>
    <b v="0"/>
    <b v="0"/>
    <s v="theater/plays"/>
    <n v="57.4375"/>
    <n v="26.070921985815602"/>
    <x v="3"/>
    <s v="plays"/>
    <x v="814"/>
    <d v="1974-05-13T07:42:00"/>
  </r>
  <r>
    <n v="915"/>
    <s v="Riggs Group"/>
    <s v="Configurable upward-trending solution"/>
    <n v="125900"/>
    <n v="195936"/>
    <x v="1"/>
    <n v="1866"/>
    <s v="GB"/>
    <s v="GBP"/>
    <n v="1503982800"/>
    <n v="1504760400"/>
    <b v="0"/>
    <b v="0"/>
    <s v="film &amp; video/television"/>
    <n v="155.62827640984909"/>
    <n v="105.0032154340836"/>
    <x v="4"/>
    <s v="television"/>
    <x v="80"/>
    <d v="1974-10-08T14:54:00"/>
  </r>
  <r>
    <n v="916"/>
    <s v="Clements Ltd"/>
    <s v="Persistent bandwidth-monitored framework"/>
    <n v="3700"/>
    <n v="1343"/>
    <x v="0"/>
    <n v="52"/>
    <s v="US"/>
    <s v="USD"/>
    <n v="1418882400"/>
    <n v="1419660000"/>
    <b v="0"/>
    <b v="0"/>
    <s v="photography/photography books"/>
    <n v="36.297297297297298"/>
    <n v="25.826923076923077"/>
    <x v="7"/>
    <s v="photography books"/>
    <x v="815"/>
    <d v="1974-07-02T03:00:00"/>
  </r>
  <r>
    <n v="917"/>
    <s v="Cooper Inc"/>
    <s v="Polarized discrete product"/>
    <n v="3600"/>
    <n v="2097"/>
    <x v="2"/>
    <n v="27"/>
    <s v="GB"/>
    <s v="GBP"/>
    <n v="1309237200"/>
    <n v="1311310800"/>
    <b v="0"/>
    <b v="1"/>
    <s v="film &amp; video/shorts"/>
    <n v="58.25"/>
    <n v="77.666666666666671"/>
    <x v="4"/>
    <s v="shorts"/>
    <x v="816"/>
    <d v="1974-02-26T17:18:00"/>
  </r>
  <r>
    <n v="918"/>
    <s v="Jones-Gonzalez"/>
    <s v="Seamless dynamic website"/>
    <n v="3800"/>
    <n v="9021"/>
    <x v="1"/>
    <n v="156"/>
    <s v="CH"/>
    <s v="CHF"/>
    <n v="1343365200"/>
    <n v="1344315600"/>
    <b v="0"/>
    <b v="0"/>
    <s v="publishing/radio &amp; podcasts"/>
    <n v="237.39473684210526"/>
    <n v="57.82692307692308"/>
    <x v="5"/>
    <s v="radio &amp; podcasts"/>
    <x v="474"/>
    <d v="1974-04-05T22:06:00"/>
  </r>
  <r>
    <n v="919"/>
    <s v="Fox Ltd"/>
    <s v="Extended multimedia firmware"/>
    <n v="35600"/>
    <n v="20915"/>
    <x v="0"/>
    <n v="225"/>
    <s v="AU"/>
    <s v="AUD"/>
    <n v="1507957200"/>
    <n v="1510725600"/>
    <b v="0"/>
    <b v="1"/>
    <s v="theater/plays"/>
    <n v="58.75"/>
    <n v="92.955555555555549"/>
    <x v="3"/>
    <s v="plays"/>
    <x v="817"/>
    <d v="1974-10-15T12:36:00"/>
  </r>
  <r>
    <n v="920"/>
    <s v="Green, Murphy and Webb"/>
    <s v="Versatile directional project"/>
    <n v="5300"/>
    <n v="9676"/>
    <x v="1"/>
    <n v="255"/>
    <s v="US"/>
    <s v="USD"/>
    <n v="1549519200"/>
    <n v="1551247200"/>
    <b v="1"/>
    <b v="0"/>
    <s v="film &amp; video/animation"/>
    <n v="182.56603773584905"/>
    <n v="37.945098039215686"/>
    <x v="4"/>
    <s v="animation"/>
    <x v="818"/>
    <d v="1974-12-01T10:12:00"/>
  </r>
  <r>
    <n v="921"/>
    <s v="Stevenson PLC"/>
    <s v="Profound directional knowledge user"/>
    <n v="160400"/>
    <n v="1210"/>
    <x v="0"/>
    <n v="38"/>
    <s v="US"/>
    <s v="USD"/>
    <n v="1329026400"/>
    <n v="1330236000"/>
    <b v="0"/>
    <b v="0"/>
    <s v="technology/web"/>
    <n v="0.75436408977556113"/>
    <n v="31.842105263157894"/>
    <x v="2"/>
    <s v="web"/>
    <x v="819"/>
    <d v="1974-03-20T15:00:00"/>
  </r>
  <r>
    <n v="922"/>
    <s v="Soto-Anthony"/>
    <s v="Ameliorated logistical capability"/>
    <n v="51400"/>
    <n v="90440"/>
    <x v="1"/>
    <n v="2261"/>
    <s v="US"/>
    <s v="USD"/>
    <n v="1544335200"/>
    <n v="1545112800"/>
    <b v="0"/>
    <b v="1"/>
    <s v="music/world music"/>
    <n v="175.95330739299609"/>
    <n v="40"/>
    <x v="1"/>
    <s v="world music"/>
    <x v="609"/>
    <d v="1974-11-24T07:48:00"/>
  </r>
  <r>
    <n v="923"/>
    <s v="Wise and Sons"/>
    <s v="Sharable discrete definition"/>
    <n v="1700"/>
    <n v="4044"/>
    <x v="1"/>
    <n v="40"/>
    <s v="US"/>
    <s v="USD"/>
    <n v="1279083600"/>
    <n v="1279170000"/>
    <b v="0"/>
    <b v="0"/>
    <s v="theater/plays"/>
    <n v="237.88235294117646"/>
    <n v="101.1"/>
    <x v="3"/>
    <s v="plays"/>
    <x v="547"/>
    <d v="1974-01-20T12:30:00"/>
  </r>
  <r>
    <n v="924"/>
    <s v="Butler-Barr"/>
    <s v="User-friendly next generation core"/>
    <n v="39400"/>
    <n v="192292"/>
    <x v="1"/>
    <n v="2289"/>
    <s v="IT"/>
    <s v="EUR"/>
    <n v="1572498000"/>
    <n v="1573452000"/>
    <b v="0"/>
    <b v="0"/>
    <s v="theater/plays"/>
    <n v="488.05076142131981"/>
    <n v="84.006989951944078"/>
    <x v="3"/>
    <s v="plays"/>
    <x v="820"/>
    <d v="1974-12-27T03:00:00"/>
  </r>
  <r>
    <n v="925"/>
    <s v="Wilson, Jefferson and Anderson"/>
    <s v="Profit-focused empowering system engine"/>
    <n v="3000"/>
    <n v="6722"/>
    <x v="1"/>
    <n v="65"/>
    <s v="US"/>
    <s v="USD"/>
    <n v="1506056400"/>
    <n v="1507093200"/>
    <b v="0"/>
    <b v="0"/>
    <s v="theater/plays"/>
    <n v="224.06666666666669"/>
    <n v="103.41538461538461"/>
    <x v="3"/>
    <s v="plays"/>
    <x v="821"/>
    <d v="1974-10-11T07:42:00"/>
  </r>
  <r>
    <n v="926"/>
    <s v="Brown-Oliver"/>
    <s v="Synchronized cohesive encoding"/>
    <n v="8700"/>
    <n v="1577"/>
    <x v="0"/>
    <n v="15"/>
    <s v="US"/>
    <s v="USD"/>
    <n v="1463029200"/>
    <n v="1463374800"/>
    <b v="0"/>
    <b v="0"/>
    <s v="food/food trucks"/>
    <n v="18.126436781609197"/>
    <n v="105.13333333333334"/>
    <x v="0"/>
    <s v="food trucks"/>
    <x v="151"/>
    <d v="1974-08-21T17:18:00"/>
  </r>
  <r>
    <n v="927"/>
    <s v="Davis-Gardner"/>
    <s v="Synergistic dynamic utilization"/>
    <n v="7200"/>
    <n v="3301"/>
    <x v="0"/>
    <n v="37"/>
    <s v="US"/>
    <s v="USD"/>
    <n v="1342069200"/>
    <n v="1344574800"/>
    <b v="0"/>
    <b v="0"/>
    <s v="theater/plays"/>
    <n v="45.847222222222221"/>
    <n v="89.21621621621621"/>
    <x v="3"/>
    <s v="plays"/>
    <x v="822"/>
    <d v="1974-04-06T05:18:00"/>
  </r>
  <r>
    <n v="928"/>
    <s v="Dawson Group"/>
    <s v="Triple-buffered bi-directional model"/>
    <n v="167400"/>
    <n v="196386"/>
    <x v="1"/>
    <n v="3777"/>
    <s v="IT"/>
    <s v="EUR"/>
    <n v="1388296800"/>
    <n v="1389074400"/>
    <b v="0"/>
    <b v="0"/>
    <s v="technology/web"/>
    <n v="117.31541218637993"/>
    <n v="51.995234312946785"/>
    <x v="2"/>
    <s v="web"/>
    <x v="823"/>
    <d v="1974-05-27T17:24:00"/>
  </r>
  <r>
    <n v="929"/>
    <s v="Turner-Terrell"/>
    <s v="Polarized tertiary function"/>
    <n v="5500"/>
    <n v="11952"/>
    <x v="1"/>
    <n v="184"/>
    <s v="GB"/>
    <s v="GBP"/>
    <n v="1493787600"/>
    <n v="1494997200"/>
    <b v="0"/>
    <b v="0"/>
    <s v="theater/plays"/>
    <n v="217.30909090909088"/>
    <n v="64.956521739130437"/>
    <x v="3"/>
    <s v="plays"/>
    <x v="824"/>
    <d v="1974-09-27T07:42:00"/>
  </r>
  <r>
    <n v="930"/>
    <s v="Hall, Buchanan and Benton"/>
    <s v="Configurable fault-tolerant structure"/>
    <n v="3500"/>
    <n v="3930"/>
    <x v="1"/>
    <n v="85"/>
    <s v="US"/>
    <s v="USD"/>
    <n v="1424844000"/>
    <n v="1425448800"/>
    <b v="0"/>
    <b v="1"/>
    <s v="theater/plays"/>
    <n v="112.28571428571428"/>
    <n v="46.235294117647058"/>
    <x v="3"/>
    <s v="plays"/>
    <x v="825"/>
    <d v="1974-07-08T19:48:00"/>
  </r>
  <r>
    <n v="931"/>
    <s v="Lowery, Hayden and Cruz"/>
    <s v="Digitized 24/7 budgetary management"/>
    <n v="7900"/>
    <n v="5729"/>
    <x v="0"/>
    <n v="112"/>
    <s v="US"/>
    <s v="USD"/>
    <n v="1403931600"/>
    <n v="1404104400"/>
    <b v="0"/>
    <b v="1"/>
    <s v="theater/plays"/>
    <n v="72.51898734177216"/>
    <n v="51.151785714285715"/>
    <x v="3"/>
    <s v="plays"/>
    <x v="826"/>
    <d v="1974-06-14T02:54:00"/>
  </r>
  <r>
    <n v="932"/>
    <s v="Mora, Miller and Harper"/>
    <s v="Stand-alone zero tolerance algorithm"/>
    <n v="2300"/>
    <n v="4883"/>
    <x v="1"/>
    <n v="144"/>
    <s v="US"/>
    <s v="USD"/>
    <n v="1394514000"/>
    <n v="1394773200"/>
    <b v="0"/>
    <b v="0"/>
    <s v="music/rock"/>
    <n v="212.30434782608697"/>
    <n v="33.909722222222221"/>
    <x v="1"/>
    <s v="rock"/>
    <x v="827"/>
    <d v="1974-06-03T07:42:00"/>
  </r>
  <r>
    <n v="933"/>
    <s v="Espinoza Group"/>
    <s v="Implemented tangible support"/>
    <n v="73000"/>
    <n v="175015"/>
    <x v="1"/>
    <n v="1902"/>
    <s v="US"/>
    <s v="USD"/>
    <n v="1365397200"/>
    <n v="1366520400"/>
    <b v="0"/>
    <b v="0"/>
    <s v="theater/plays"/>
    <n v="239.74657534246577"/>
    <n v="92.016298633017882"/>
    <x v="3"/>
    <s v="plays"/>
    <x v="828"/>
    <d v="1974-05-01T14:54:00"/>
  </r>
  <r>
    <n v="934"/>
    <s v="Davis, Crawford and Lopez"/>
    <s v="Reactive radical framework"/>
    <n v="6200"/>
    <n v="11280"/>
    <x v="1"/>
    <n v="105"/>
    <s v="US"/>
    <s v="USD"/>
    <n v="1456120800"/>
    <n v="1456639200"/>
    <b v="0"/>
    <b v="0"/>
    <s v="theater/plays"/>
    <n v="181.93548387096774"/>
    <n v="107.42857142857143"/>
    <x v="3"/>
    <s v="plays"/>
    <x v="829"/>
    <d v="1974-08-13T22:12:00"/>
  </r>
  <r>
    <n v="935"/>
    <s v="Richards, Stevens and Fleming"/>
    <s v="Object-based full-range knowledge user"/>
    <n v="6100"/>
    <n v="10012"/>
    <x v="1"/>
    <n v="132"/>
    <s v="US"/>
    <s v="USD"/>
    <n v="1437714000"/>
    <n v="1438318800"/>
    <b v="0"/>
    <b v="0"/>
    <s v="theater/plays"/>
    <n v="164.13114754098362"/>
    <n v="75.848484848484844"/>
    <x v="3"/>
    <s v="plays"/>
    <x v="830"/>
    <d v="1974-07-23T17:18:00"/>
  </r>
  <r>
    <n v="936"/>
    <s v="Brown Ltd"/>
    <s v="Enhanced composite contingency"/>
    <n v="103200"/>
    <n v="1690"/>
    <x v="0"/>
    <n v="21"/>
    <s v="US"/>
    <s v="USD"/>
    <n v="1563771600"/>
    <n v="1564030800"/>
    <b v="1"/>
    <b v="0"/>
    <s v="theater/plays"/>
    <n v="1.6375968992248062"/>
    <n v="80.476190476190482"/>
    <x v="3"/>
    <s v="plays"/>
    <x v="831"/>
    <d v="1974-12-16T05:18:00"/>
  </r>
  <r>
    <n v="937"/>
    <s v="Tapia, Sandoval and Hurley"/>
    <s v="Cloned fresh-thinking model"/>
    <n v="171000"/>
    <n v="84891"/>
    <x v="3"/>
    <n v="976"/>
    <s v="US"/>
    <s v="USD"/>
    <n v="1448517600"/>
    <n v="1449295200"/>
    <b v="0"/>
    <b v="0"/>
    <s v="film &amp; video/documentary"/>
    <n v="49.64385964912281"/>
    <n v="86.978483606557376"/>
    <x v="4"/>
    <s v="documentary"/>
    <x v="832"/>
    <d v="1974-08-05T10:12:00"/>
  </r>
  <r>
    <n v="938"/>
    <s v="Allen Inc"/>
    <s v="Total dedicated benchmark"/>
    <n v="9200"/>
    <n v="10093"/>
    <x v="1"/>
    <n v="96"/>
    <s v="US"/>
    <s v="USD"/>
    <n v="1528779600"/>
    <n v="1531890000"/>
    <b v="0"/>
    <b v="1"/>
    <s v="publishing/fiction"/>
    <n v="109.70652173913042"/>
    <n v="105.13541666666667"/>
    <x v="5"/>
    <s v="fiction"/>
    <x v="833"/>
    <d v="1974-11-09T00:30:00"/>
  </r>
  <r>
    <n v="939"/>
    <s v="Williams, Johnson and Campbell"/>
    <s v="Streamlined human-resource Graphic Interface"/>
    <n v="7800"/>
    <n v="3839"/>
    <x v="0"/>
    <n v="67"/>
    <s v="US"/>
    <s v="USD"/>
    <n v="1304744400"/>
    <n v="1306213200"/>
    <b v="0"/>
    <b v="1"/>
    <s v="games/video games"/>
    <n v="49.217948717948715"/>
    <n v="57.298507462686565"/>
    <x v="6"/>
    <s v="video games"/>
    <x v="834"/>
    <d v="1974-02-20T19:42:00"/>
  </r>
  <r>
    <n v="940"/>
    <s v="Wiggins Ltd"/>
    <s v="Upgradable analyzing core"/>
    <n v="9900"/>
    <n v="6161"/>
    <x v="2"/>
    <n v="66"/>
    <s v="CA"/>
    <s v="CAD"/>
    <n v="1354341600"/>
    <n v="1356242400"/>
    <b v="0"/>
    <b v="0"/>
    <s v="technology/web"/>
    <n v="62.232323232323225"/>
    <n v="93.348484848484844"/>
    <x v="2"/>
    <s v="web"/>
    <x v="835"/>
    <d v="1974-04-19T17:24:00"/>
  </r>
  <r>
    <n v="941"/>
    <s v="Luna-Horne"/>
    <s v="Profound exuding pricing structure"/>
    <n v="43000"/>
    <n v="5615"/>
    <x v="0"/>
    <n v="78"/>
    <s v="US"/>
    <s v="USD"/>
    <n v="1294552800"/>
    <n v="1297576800"/>
    <b v="1"/>
    <b v="0"/>
    <s v="theater/plays"/>
    <n v="13.05813953488372"/>
    <n v="71.987179487179489"/>
    <x v="3"/>
    <s v="plays"/>
    <x v="836"/>
    <d v="1974-02-10T19:48:00"/>
  </r>
  <r>
    <n v="942"/>
    <s v="Allen Inc"/>
    <s v="Horizontal optimizing model"/>
    <n v="9600"/>
    <n v="6205"/>
    <x v="0"/>
    <n v="67"/>
    <s v="AU"/>
    <s v="AUD"/>
    <n v="1295935200"/>
    <n v="1296194400"/>
    <b v="0"/>
    <b v="0"/>
    <s v="theater/plays"/>
    <n v="64.635416666666671"/>
    <n v="92.611940298507463"/>
    <x v="3"/>
    <s v="plays"/>
    <x v="837"/>
    <d v="1974-02-09T05:24:00"/>
  </r>
  <r>
    <n v="943"/>
    <s v="Peterson, Gonzalez and Spencer"/>
    <s v="Synchronized fault-tolerant algorithm"/>
    <n v="7500"/>
    <n v="11969"/>
    <x v="1"/>
    <n v="114"/>
    <s v="US"/>
    <s v="USD"/>
    <n v="1411534800"/>
    <n v="1414558800"/>
    <b v="0"/>
    <b v="0"/>
    <s v="food/food trucks"/>
    <n v="159.58666666666667"/>
    <n v="104.99122807017544"/>
    <x v="0"/>
    <s v="food trucks"/>
    <x v="219"/>
    <d v="1974-06-26T05:18:00"/>
  </r>
  <r>
    <n v="944"/>
    <s v="Walter Inc"/>
    <s v="Streamlined 5thgeneration intranet"/>
    <n v="10000"/>
    <n v="8142"/>
    <x v="0"/>
    <n v="263"/>
    <s v="AU"/>
    <s v="AUD"/>
    <n v="1486706400"/>
    <n v="1488348000"/>
    <b v="0"/>
    <b v="0"/>
    <s v="photography/photography books"/>
    <n v="81.42"/>
    <n v="30.958174904942965"/>
    <x v="7"/>
    <s v="photography books"/>
    <x v="365"/>
    <d v="1974-09-19T15:00:00"/>
  </r>
  <r>
    <n v="945"/>
    <s v="Sanders, Farley and Huffman"/>
    <s v="Cross-group clear-thinking task-force"/>
    <n v="172000"/>
    <n v="55805"/>
    <x v="0"/>
    <n v="1691"/>
    <s v="US"/>
    <s v="USD"/>
    <n v="1333602000"/>
    <n v="1334898000"/>
    <b v="1"/>
    <b v="0"/>
    <s v="photography/photography books"/>
    <n v="32.444767441860463"/>
    <n v="33.001182732111175"/>
    <x v="7"/>
    <s v="photography books"/>
    <x v="838"/>
    <d v="1974-03-26T00:30:00"/>
  </r>
  <r>
    <n v="946"/>
    <s v="Hall, Holmes and Walker"/>
    <s v="Public-key bandwidth-monitored intranet"/>
    <n v="153700"/>
    <n v="15238"/>
    <x v="0"/>
    <n v="181"/>
    <s v="US"/>
    <s v="USD"/>
    <n v="1308200400"/>
    <n v="1308373200"/>
    <b v="0"/>
    <b v="0"/>
    <s v="theater/plays"/>
    <n v="9.9141184124918666"/>
    <n v="84.187845303867405"/>
    <x v="3"/>
    <s v="plays"/>
    <x v="839"/>
    <d v="1974-02-23T07:42:00"/>
  </r>
  <r>
    <n v="947"/>
    <s v="Smith-Powell"/>
    <s v="Upgradable clear-thinking hardware"/>
    <n v="3600"/>
    <n v="961"/>
    <x v="0"/>
    <n v="13"/>
    <s v="US"/>
    <s v="USD"/>
    <n v="1411707600"/>
    <n v="1412312400"/>
    <b v="0"/>
    <b v="0"/>
    <s v="theater/plays"/>
    <n v="26.694444444444443"/>
    <n v="73.92307692307692"/>
    <x v="3"/>
    <s v="plays"/>
    <x v="840"/>
    <d v="1974-06-23T14:54:00"/>
  </r>
  <r>
    <n v="948"/>
    <s v="Smith-Hill"/>
    <s v="Integrated holistic paradigm"/>
    <n v="9400"/>
    <n v="5918"/>
    <x v="3"/>
    <n v="160"/>
    <s v="US"/>
    <s v="USD"/>
    <n v="1418364000"/>
    <n v="1419228000"/>
    <b v="1"/>
    <b v="1"/>
    <s v="film &amp; video/documentary"/>
    <n v="62.957446808510639"/>
    <n v="36.987499999999997"/>
    <x v="4"/>
    <s v="documentary"/>
    <x v="841"/>
    <d v="1974-07-01T15:00:00"/>
  </r>
  <r>
    <n v="949"/>
    <s v="Wright LLC"/>
    <s v="Seamless clear-thinking conglomeration"/>
    <n v="5900"/>
    <n v="9520"/>
    <x v="1"/>
    <n v="203"/>
    <s v="US"/>
    <s v="USD"/>
    <n v="1429333200"/>
    <n v="1430974800"/>
    <b v="0"/>
    <b v="0"/>
    <s v="technology/web"/>
    <n v="161.35593220338984"/>
    <n v="46.896551724137929"/>
    <x v="2"/>
    <s v="web"/>
    <x v="842"/>
    <d v="1974-07-15T05:18:00"/>
  </r>
  <r>
    <n v="950"/>
    <s v="Williams, Orozco and Gomez"/>
    <s v="Persistent content-based methodology"/>
    <n v="100"/>
    <n v="5"/>
    <x v="0"/>
    <n v="1"/>
    <s v="US"/>
    <s v="USD"/>
    <n v="1555390800"/>
    <n v="1555822800"/>
    <b v="0"/>
    <b v="1"/>
    <s v="theater/plays"/>
    <n v="5"/>
    <n v="5"/>
    <x v="3"/>
    <s v="plays"/>
    <x v="843"/>
    <d v="1974-12-06T17:18:00"/>
  </r>
  <r>
    <n v="951"/>
    <s v="Peterson Ltd"/>
    <s v="Re-engineered 24hour matrix"/>
    <n v="14500"/>
    <n v="159056"/>
    <x v="1"/>
    <n v="1559"/>
    <s v="US"/>
    <s v="USD"/>
    <n v="1482732000"/>
    <n v="1482818400"/>
    <b v="0"/>
    <b v="1"/>
    <s v="music/rock"/>
    <n v="1096.9379310344827"/>
    <n v="102.02437459910199"/>
    <x v="1"/>
    <s v="rock"/>
    <x v="844"/>
    <d v="1974-09-13T05:24:00"/>
  </r>
  <r>
    <n v="952"/>
    <s v="Cummings-Hayes"/>
    <s v="Virtual multi-tasking core"/>
    <n v="145500"/>
    <n v="101987"/>
    <x v="3"/>
    <n v="2266"/>
    <s v="US"/>
    <s v="USD"/>
    <n v="1470718800"/>
    <n v="1471928400"/>
    <b v="0"/>
    <b v="0"/>
    <s v="film &amp; video/documentary"/>
    <n v="70.094158075601371"/>
    <n v="45.007502206531335"/>
    <x v="4"/>
    <s v="documentary"/>
    <x v="845"/>
    <d v="1974-08-31T14:54:00"/>
  </r>
  <r>
    <n v="953"/>
    <s v="Boyle Ltd"/>
    <s v="Streamlined fault-tolerant conglomeration"/>
    <n v="3300"/>
    <n v="1980"/>
    <x v="0"/>
    <n v="21"/>
    <s v="US"/>
    <s v="USD"/>
    <n v="1450591200"/>
    <n v="1453701600"/>
    <b v="0"/>
    <b v="1"/>
    <s v="film &amp; video/science fiction"/>
    <n v="60"/>
    <n v="94.285714285714292"/>
    <x v="4"/>
    <s v="science fiction"/>
    <x v="846"/>
    <d v="1974-08-10T12:36:00"/>
  </r>
  <r>
    <n v="954"/>
    <s v="Henderson, Parker and Diaz"/>
    <s v="Enterprise-wide client-driven policy"/>
    <n v="42600"/>
    <n v="156384"/>
    <x v="1"/>
    <n v="1548"/>
    <s v="AU"/>
    <s v="AUD"/>
    <n v="1348290000"/>
    <n v="1350363600"/>
    <b v="0"/>
    <b v="0"/>
    <s v="technology/web"/>
    <n v="367.0985915492958"/>
    <n v="101.02325581395348"/>
    <x v="2"/>
    <s v="web"/>
    <x v="110"/>
    <d v="1974-04-12T22:06:00"/>
  </r>
  <r>
    <n v="955"/>
    <s v="Moss-Obrien"/>
    <s v="Function-based next generation emulation"/>
    <n v="700"/>
    <n v="7763"/>
    <x v="1"/>
    <n v="80"/>
    <s v="US"/>
    <s v="USD"/>
    <n v="1353823200"/>
    <n v="1353996000"/>
    <b v="0"/>
    <b v="0"/>
    <s v="theater/plays"/>
    <n v="1109"/>
    <n v="97.037499999999994"/>
    <x v="3"/>
    <s v="plays"/>
    <x v="847"/>
    <d v="1974-04-17T03:00:00"/>
  </r>
  <r>
    <n v="956"/>
    <s v="Wood Inc"/>
    <s v="Re-engineered composite focus group"/>
    <n v="187600"/>
    <n v="35698"/>
    <x v="0"/>
    <n v="830"/>
    <s v="US"/>
    <s v="USD"/>
    <n v="1450764000"/>
    <n v="1451109600"/>
    <b v="0"/>
    <b v="0"/>
    <s v="film &amp; video/science fiction"/>
    <n v="19.028784648187631"/>
    <n v="43.00963855421687"/>
    <x v="4"/>
    <s v="science fiction"/>
    <x v="848"/>
    <d v="1974-08-07T12:36:00"/>
  </r>
  <r>
    <n v="957"/>
    <s v="Riley, Cohen and Goodman"/>
    <s v="Profound mission-critical function"/>
    <n v="9800"/>
    <n v="12434"/>
    <x v="1"/>
    <n v="131"/>
    <s v="US"/>
    <s v="USD"/>
    <n v="1329372000"/>
    <n v="1329631200"/>
    <b v="0"/>
    <b v="0"/>
    <s v="theater/plays"/>
    <n v="126.87755102040816"/>
    <n v="94.916030534351151"/>
    <x v="3"/>
    <s v="plays"/>
    <x v="849"/>
    <d v="1974-03-19T22:12:00"/>
  </r>
  <r>
    <n v="958"/>
    <s v="Green, Robinson and Ho"/>
    <s v="De-engineered zero-defect open system"/>
    <n v="1100"/>
    <n v="8081"/>
    <x v="1"/>
    <n v="112"/>
    <s v="US"/>
    <s v="USD"/>
    <n v="1277096400"/>
    <n v="1278997200"/>
    <b v="0"/>
    <b v="0"/>
    <s v="film &amp; video/animation"/>
    <n v="734.63636363636363"/>
    <n v="72.151785714285708"/>
    <x v="4"/>
    <s v="animation"/>
    <x v="780"/>
    <d v="1974-01-20T07:42:00"/>
  </r>
  <r>
    <n v="959"/>
    <s v="Black-Graham"/>
    <s v="Operative hybrid utilization"/>
    <n v="145000"/>
    <n v="6631"/>
    <x v="0"/>
    <n v="130"/>
    <s v="US"/>
    <s v="USD"/>
    <n v="1277701200"/>
    <n v="1280120400"/>
    <b v="0"/>
    <b v="0"/>
    <s v="publishing/translations"/>
    <n v="4.5731034482758623"/>
    <n v="51.007692307692309"/>
    <x v="5"/>
    <s v="translations"/>
    <x v="140"/>
    <d v="1974-01-21T14:54:00"/>
  </r>
  <r>
    <n v="960"/>
    <s v="Robbins Group"/>
    <s v="Function-based interactive matrix"/>
    <n v="5500"/>
    <n v="4678"/>
    <x v="0"/>
    <n v="55"/>
    <s v="US"/>
    <s v="USD"/>
    <n v="1454911200"/>
    <n v="1458104400"/>
    <b v="0"/>
    <b v="0"/>
    <s v="technology/web"/>
    <n v="85.054545454545448"/>
    <n v="85.054545454545448"/>
    <x v="2"/>
    <s v="web"/>
    <x v="850"/>
    <d v="1974-08-15T14:54:00"/>
  </r>
  <r>
    <n v="961"/>
    <s v="Mason, Case and May"/>
    <s v="Optimized content-based collaboration"/>
    <n v="5700"/>
    <n v="6800"/>
    <x v="1"/>
    <n v="155"/>
    <s v="US"/>
    <s v="USD"/>
    <n v="1297922400"/>
    <n v="1298268000"/>
    <b v="0"/>
    <b v="0"/>
    <s v="publishing/translations"/>
    <n v="119.29824561403508"/>
    <n v="43.87096774193548"/>
    <x v="5"/>
    <s v="translations"/>
    <x v="851"/>
    <d v="1974-02-11T15:00:00"/>
  </r>
  <r>
    <n v="962"/>
    <s v="Harris, Russell and Mitchell"/>
    <s v="User-centric cohesive policy"/>
    <n v="3600"/>
    <n v="10657"/>
    <x v="1"/>
    <n v="266"/>
    <s v="US"/>
    <s v="USD"/>
    <n v="1384408800"/>
    <n v="1386223200"/>
    <b v="0"/>
    <b v="0"/>
    <s v="food/food trucks"/>
    <n v="296.02777777777777"/>
    <n v="40.063909774436091"/>
    <x v="0"/>
    <s v="food trucks"/>
    <x v="852"/>
    <d v="1974-05-24T10:12:00"/>
  </r>
  <r>
    <n v="963"/>
    <s v="Rodriguez-Robinson"/>
    <s v="Ergonomic methodical hub"/>
    <n v="5900"/>
    <n v="4997"/>
    <x v="0"/>
    <n v="114"/>
    <s v="IT"/>
    <s v="EUR"/>
    <n v="1299304800"/>
    <n v="1299823200"/>
    <b v="0"/>
    <b v="1"/>
    <s v="photography/photography books"/>
    <n v="84.694915254237287"/>
    <n v="43.833333333333336"/>
    <x v="7"/>
    <s v="photography books"/>
    <x v="853"/>
    <d v="1974-02-13T10:12:00"/>
  </r>
  <r>
    <n v="964"/>
    <s v="Peck, Higgins and Smith"/>
    <s v="Devolved disintermediate encryption"/>
    <n v="3700"/>
    <n v="13164"/>
    <x v="1"/>
    <n v="155"/>
    <s v="US"/>
    <s v="USD"/>
    <n v="1431320400"/>
    <n v="1431752400"/>
    <b v="0"/>
    <b v="0"/>
    <s v="theater/plays"/>
    <n v="355.7837837837838"/>
    <n v="84.92903225806451"/>
    <x v="3"/>
    <s v="plays"/>
    <x v="854"/>
    <d v="1974-07-16T02:54:00"/>
  </r>
  <r>
    <n v="965"/>
    <s v="Nunez-King"/>
    <s v="Phased clear-thinking policy"/>
    <n v="2200"/>
    <n v="8501"/>
    <x v="1"/>
    <n v="207"/>
    <s v="GB"/>
    <s v="GBP"/>
    <n v="1264399200"/>
    <n v="1267855200"/>
    <b v="0"/>
    <b v="0"/>
    <s v="music/rock"/>
    <n v="386.40909090909093"/>
    <n v="41.067632850241544"/>
    <x v="1"/>
    <s v="rock"/>
    <x v="67"/>
    <d v="1974-01-07T10:12:00"/>
  </r>
  <r>
    <n v="966"/>
    <s v="Davis and Sons"/>
    <s v="Seamless solution-oriented capacity"/>
    <n v="1700"/>
    <n v="13468"/>
    <x v="1"/>
    <n v="245"/>
    <s v="US"/>
    <s v="USD"/>
    <n v="1497502800"/>
    <n v="1497675600"/>
    <b v="0"/>
    <b v="0"/>
    <s v="theater/plays"/>
    <n v="792.23529411764707"/>
    <n v="54.971428571428568"/>
    <x v="3"/>
    <s v="plays"/>
    <x v="855"/>
    <d v="1974-09-30T10:06:00"/>
  </r>
  <r>
    <n v="967"/>
    <s v="Howard-Douglas"/>
    <s v="Organized human-resource attitude"/>
    <n v="88400"/>
    <n v="121138"/>
    <x v="1"/>
    <n v="1573"/>
    <s v="US"/>
    <s v="USD"/>
    <n v="1333688400"/>
    <n v="1336885200"/>
    <b v="0"/>
    <b v="0"/>
    <s v="music/world music"/>
    <n v="137.03393665158373"/>
    <n v="77.010807374443743"/>
    <x v="1"/>
    <s v="world music"/>
    <x v="107"/>
    <d v="1974-03-28T07:42:00"/>
  </r>
  <r>
    <n v="968"/>
    <s v="Gonzalez-White"/>
    <s v="Open-architected disintermediate budgetary management"/>
    <n v="2400"/>
    <n v="8117"/>
    <x v="1"/>
    <n v="114"/>
    <s v="US"/>
    <s v="USD"/>
    <n v="1293861600"/>
    <n v="1295157600"/>
    <b v="0"/>
    <b v="0"/>
    <s v="food/food trucks"/>
    <n v="338.20833333333337"/>
    <n v="71.201754385964918"/>
    <x v="0"/>
    <s v="food trucks"/>
    <x v="344"/>
    <d v="1974-02-08T00:36:00"/>
  </r>
  <r>
    <n v="969"/>
    <s v="Lopez-King"/>
    <s v="Multi-lateral radical solution"/>
    <n v="7900"/>
    <n v="8550"/>
    <x v="1"/>
    <n v="93"/>
    <s v="US"/>
    <s v="USD"/>
    <n v="1576994400"/>
    <n v="1577599200"/>
    <b v="0"/>
    <b v="0"/>
    <s v="theater/plays"/>
    <n v="108.22784810126582"/>
    <n v="91.935483870967744"/>
    <x v="3"/>
    <s v="plays"/>
    <x v="856"/>
    <d v="1974-12-31T22:12:00"/>
  </r>
  <r>
    <n v="970"/>
    <s v="Glover-Nelson"/>
    <s v="Inverse context-sensitive info-mediaries"/>
    <n v="94900"/>
    <n v="57659"/>
    <x v="0"/>
    <n v="594"/>
    <s v="US"/>
    <s v="USD"/>
    <n v="1304917200"/>
    <n v="1305003600"/>
    <b v="0"/>
    <b v="0"/>
    <s v="theater/plays"/>
    <n v="60.757639620653315"/>
    <n v="97.069023569023571"/>
    <x v="3"/>
    <s v="plays"/>
    <x v="857"/>
    <d v="1974-02-19T10:06:00"/>
  </r>
  <r>
    <n v="971"/>
    <s v="Garner and Sons"/>
    <s v="Versatile neutral workforce"/>
    <n v="5100"/>
    <n v="1414"/>
    <x v="0"/>
    <n v="24"/>
    <s v="US"/>
    <s v="USD"/>
    <n v="1381208400"/>
    <n v="1381726800"/>
    <b v="0"/>
    <b v="0"/>
    <s v="film &amp; video/television"/>
    <n v="27.725490196078432"/>
    <n v="58.916666666666664"/>
    <x v="4"/>
    <s v="television"/>
    <x v="858"/>
    <d v="1974-05-19T05:18:00"/>
  </r>
  <r>
    <n v="972"/>
    <s v="Sellers, Roach and Garrison"/>
    <s v="Multi-tiered systematic knowledge user"/>
    <n v="42700"/>
    <n v="97524"/>
    <x v="1"/>
    <n v="1681"/>
    <s v="US"/>
    <s v="USD"/>
    <n v="1401685200"/>
    <n v="1402462800"/>
    <b v="0"/>
    <b v="1"/>
    <s v="technology/web"/>
    <n v="228.3934426229508"/>
    <n v="58.015466983938133"/>
    <x v="2"/>
    <s v="web"/>
    <x v="859"/>
    <d v="1974-06-12T05:18:00"/>
  </r>
  <r>
    <n v="973"/>
    <s v="Herrera, Bennett and Silva"/>
    <s v="Programmable multi-state algorithm"/>
    <n v="121100"/>
    <n v="26176"/>
    <x v="0"/>
    <n v="252"/>
    <s v="US"/>
    <s v="USD"/>
    <n v="1291960800"/>
    <n v="1292133600"/>
    <b v="0"/>
    <b v="1"/>
    <s v="theater/plays"/>
    <n v="21.615194054500414"/>
    <n v="103.87301587301587"/>
    <x v="3"/>
    <s v="plays"/>
    <x v="860"/>
    <d v="1974-02-04T12:36:00"/>
  </r>
  <r>
    <n v="974"/>
    <s v="Thomas, Clay and Mendoza"/>
    <s v="Multi-channeled reciprocal interface"/>
    <n v="800"/>
    <n v="2991"/>
    <x v="1"/>
    <n v="32"/>
    <s v="US"/>
    <s v="USD"/>
    <n v="1368853200"/>
    <n v="1368939600"/>
    <b v="0"/>
    <b v="0"/>
    <s v="music/indie rock"/>
    <n v="373.875"/>
    <n v="93.46875"/>
    <x v="1"/>
    <s v="indie rock"/>
    <x v="170"/>
    <d v="1974-05-04T10:06:00"/>
  </r>
  <r>
    <n v="975"/>
    <s v="Ayala Group"/>
    <s v="Right-sized maximized migration"/>
    <n v="5400"/>
    <n v="8366"/>
    <x v="1"/>
    <n v="135"/>
    <s v="US"/>
    <s v="USD"/>
    <n v="1448776800"/>
    <n v="1452146400"/>
    <b v="0"/>
    <b v="1"/>
    <s v="theater/plays"/>
    <n v="154.92592592592592"/>
    <n v="61.970370370370368"/>
    <x v="3"/>
    <s v="plays"/>
    <x v="861"/>
    <d v="1974-08-08T17:24:00"/>
  </r>
  <r>
    <n v="976"/>
    <s v="Huerta, Roberts and Dickerson"/>
    <s v="Self-enabling value-added artificial intelligence"/>
    <n v="4000"/>
    <n v="12886"/>
    <x v="1"/>
    <n v="140"/>
    <s v="US"/>
    <s v="USD"/>
    <n v="1296194400"/>
    <n v="1296712800"/>
    <b v="0"/>
    <b v="1"/>
    <s v="theater/plays"/>
    <n v="322.14999999999998"/>
    <n v="92.042857142857144"/>
    <x v="3"/>
    <s v="plays"/>
    <x v="862"/>
    <d v="1974-02-09T19:48:00"/>
  </r>
  <r>
    <n v="977"/>
    <s v="Johnson Group"/>
    <s v="Vision-oriented interactive solution"/>
    <n v="7000"/>
    <n v="5177"/>
    <x v="0"/>
    <n v="67"/>
    <s v="US"/>
    <s v="USD"/>
    <n v="1517983200"/>
    <n v="1520748000"/>
    <b v="0"/>
    <b v="0"/>
    <s v="food/food trucks"/>
    <n v="73.957142857142856"/>
    <n v="77.268656716417908"/>
    <x v="0"/>
    <s v="food trucks"/>
    <x v="863"/>
    <d v="1974-10-27T03:00:00"/>
  </r>
  <r>
    <n v="978"/>
    <s v="Bailey, Nguyen and Martinez"/>
    <s v="Fundamental user-facing productivity"/>
    <n v="1000"/>
    <n v="8641"/>
    <x v="1"/>
    <n v="92"/>
    <s v="US"/>
    <s v="USD"/>
    <n v="1478930400"/>
    <n v="1480831200"/>
    <b v="0"/>
    <b v="0"/>
    <s v="games/video games"/>
    <n v="864.1"/>
    <n v="93.923913043478265"/>
    <x v="6"/>
    <s v="video games"/>
    <x v="864"/>
    <d v="1974-09-10T22:12:00"/>
  </r>
  <r>
    <n v="979"/>
    <s v="Williams, Martin and Meyer"/>
    <s v="Innovative well-modulated capability"/>
    <n v="60200"/>
    <n v="86244"/>
    <x v="1"/>
    <n v="1015"/>
    <s v="GB"/>
    <s v="GBP"/>
    <n v="1426395600"/>
    <n v="1426914000"/>
    <b v="0"/>
    <b v="0"/>
    <s v="theater/plays"/>
    <n v="143.26245847176079"/>
    <n v="84.969458128078813"/>
    <x v="3"/>
    <s v="plays"/>
    <x v="527"/>
    <d v="1974-07-10T12:30:00"/>
  </r>
  <r>
    <n v="980"/>
    <s v="Huff-Johnson"/>
    <s v="Universal fault-tolerant orchestration"/>
    <n v="195200"/>
    <n v="78630"/>
    <x v="0"/>
    <n v="742"/>
    <s v="US"/>
    <s v="USD"/>
    <n v="1446181200"/>
    <n v="1446616800"/>
    <b v="1"/>
    <b v="0"/>
    <s v="publishing/nonfiction"/>
    <n v="40.281762295081968"/>
    <n v="105.97035040431267"/>
    <x v="5"/>
    <s v="nonfiction"/>
    <x v="865"/>
    <d v="1974-08-02T07:48:00"/>
  </r>
  <r>
    <n v="981"/>
    <s v="Diaz-Little"/>
    <s v="Grass-roots executive synergy"/>
    <n v="6700"/>
    <n v="11941"/>
    <x v="1"/>
    <n v="323"/>
    <s v="US"/>
    <s v="USD"/>
    <n v="1514181600"/>
    <n v="1517032800"/>
    <b v="0"/>
    <b v="0"/>
    <s v="technology/web"/>
    <n v="178.22388059701493"/>
    <n v="36.969040247678016"/>
    <x v="2"/>
    <s v="web"/>
    <x v="866"/>
    <d v="1974-10-22T19:48:00"/>
  </r>
  <r>
    <n v="982"/>
    <s v="Freeman-French"/>
    <s v="Multi-layered optimal application"/>
    <n v="7200"/>
    <n v="6115"/>
    <x v="0"/>
    <n v="75"/>
    <s v="US"/>
    <s v="USD"/>
    <n v="1311051600"/>
    <n v="1311224400"/>
    <b v="0"/>
    <b v="1"/>
    <s v="film &amp; video/documentary"/>
    <n v="84.930555555555557"/>
    <n v="81.533333333333331"/>
    <x v="4"/>
    <s v="documentary"/>
    <x v="867"/>
    <d v="1974-02-26T14:54:00"/>
  </r>
  <r>
    <n v="983"/>
    <s v="Beck-Weber"/>
    <s v="Business-focused full-range core"/>
    <n v="129100"/>
    <n v="188404"/>
    <x v="1"/>
    <n v="2326"/>
    <s v="US"/>
    <s v="USD"/>
    <n v="1564894800"/>
    <n v="1566190800"/>
    <b v="0"/>
    <b v="0"/>
    <s v="film &amp; video/documentary"/>
    <n v="145.93648334624322"/>
    <n v="80.999140154772135"/>
    <x v="4"/>
    <s v="documentary"/>
    <x v="868"/>
    <d v="1974-12-18T17:18:00"/>
  </r>
  <r>
    <n v="984"/>
    <s v="Lewis-Jacobson"/>
    <s v="Exclusive system-worthy Graphic Interface"/>
    <n v="6500"/>
    <n v="9910"/>
    <x v="1"/>
    <n v="381"/>
    <s v="US"/>
    <s v="USD"/>
    <n v="1567918800"/>
    <n v="1570165200"/>
    <b v="0"/>
    <b v="0"/>
    <s v="theater/plays"/>
    <n v="152.46153846153848"/>
    <n v="26.010498687664043"/>
    <x v="3"/>
    <s v="plays"/>
    <x v="105"/>
    <d v="1974-12-23T07:42:00"/>
  </r>
  <r>
    <n v="985"/>
    <s v="Logan-Curtis"/>
    <s v="Enhanced optimal ability"/>
    <n v="170600"/>
    <n v="114523"/>
    <x v="0"/>
    <n v="4405"/>
    <s v="US"/>
    <s v="USD"/>
    <n v="1386309600"/>
    <n v="1388556000"/>
    <b v="0"/>
    <b v="1"/>
    <s v="music/rock"/>
    <n v="67.129542790152414"/>
    <n v="25.998410896708286"/>
    <x v="1"/>
    <s v="rock"/>
    <x v="481"/>
    <d v="1974-05-27T03:00:00"/>
  </r>
  <r>
    <n v="986"/>
    <s v="Chan, Washington and Callahan"/>
    <s v="Optional zero administration neural-net"/>
    <n v="7800"/>
    <n v="3144"/>
    <x v="0"/>
    <n v="92"/>
    <s v="US"/>
    <s v="USD"/>
    <n v="1301979600"/>
    <n v="1303189200"/>
    <b v="0"/>
    <b v="0"/>
    <s v="music/rock"/>
    <n v="40.307692307692307"/>
    <n v="34.173913043478258"/>
    <x v="1"/>
    <s v="rock"/>
    <x v="253"/>
    <d v="1974-02-17T07:42:00"/>
  </r>
  <r>
    <n v="987"/>
    <s v="Wilson Group"/>
    <s v="Ameliorated foreground focus group"/>
    <n v="6200"/>
    <n v="13441"/>
    <x v="1"/>
    <n v="480"/>
    <s v="US"/>
    <s v="USD"/>
    <n v="1493269200"/>
    <n v="1494478800"/>
    <b v="0"/>
    <b v="0"/>
    <s v="film &amp; video/documentary"/>
    <n v="216.79032258064518"/>
    <n v="28.002083333333335"/>
    <x v="4"/>
    <s v="documentary"/>
    <x v="869"/>
    <d v="1974-09-26T17:18:00"/>
  </r>
  <r>
    <n v="988"/>
    <s v="Gardner, Ryan and Gutierrez"/>
    <s v="Triple-buffered multi-tasking matrices"/>
    <n v="9400"/>
    <n v="4899"/>
    <x v="0"/>
    <n v="64"/>
    <s v="US"/>
    <s v="USD"/>
    <n v="1478930400"/>
    <n v="1480744800"/>
    <b v="0"/>
    <b v="0"/>
    <s v="publishing/radio &amp; podcasts"/>
    <n v="52.117021276595743"/>
    <n v="76.546875"/>
    <x v="5"/>
    <s v="radio &amp; podcasts"/>
    <x v="864"/>
    <d v="1974-09-10T19:48:00"/>
  </r>
  <r>
    <n v="989"/>
    <s v="Hernandez Inc"/>
    <s v="Versatile dedicated migration"/>
    <n v="2400"/>
    <n v="11990"/>
    <x v="1"/>
    <n v="226"/>
    <s v="US"/>
    <s v="USD"/>
    <n v="1555390800"/>
    <n v="1555822800"/>
    <b v="0"/>
    <b v="0"/>
    <s v="publishing/translations"/>
    <n v="499.58333333333337"/>
    <n v="53.053097345132741"/>
    <x v="5"/>
    <s v="translations"/>
    <x v="843"/>
    <d v="1974-12-06T17:18:00"/>
  </r>
  <r>
    <n v="990"/>
    <s v="Ortiz-Roberts"/>
    <s v="Devolved foreground customer loyalty"/>
    <n v="7800"/>
    <n v="6839"/>
    <x v="0"/>
    <n v="64"/>
    <s v="US"/>
    <s v="USD"/>
    <n v="1456984800"/>
    <n v="1458882000"/>
    <b v="0"/>
    <b v="1"/>
    <s v="film &amp; video/drama"/>
    <n v="87.679487179487182"/>
    <n v="106.859375"/>
    <x v="4"/>
    <s v="drama"/>
    <x v="289"/>
    <d v="1974-08-16T12:30:00"/>
  </r>
  <r>
    <n v="991"/>
    <s v="Ramirez LLC"/>
    <s v="Reduced reciprocal focus group"/>
    <n v="9800"/>
    <n v="11091"/>
    <x v="1"/>
    <n v="241"/>
    <s v="US"/>
    <s v="USD"/>
    <n v="1411621200"/>
    <n v="1411966800"/>
    <b v="0"/>
    <b v="1"/>
    <s v="music/rock"/>
    <n v="113.17346938775511"/>
    <n v="46.020746887966808"/>
    <x v="1"/>
    <s v="rock"/>
    <x v="870"/>
    <d v="1974-06-23T05:18:00"/>
  </r>
  <r>
    <n v="992"/>
    <s v="Morrow Inc"/>
    <s v="Networked global migration"/>
    <n v="3100"/>
    <n v="13223"/>
    <x v="1"/>
    <n v="132"/>
    <s v="US"/>
    <s v="USD"/>
    <n v="1525669200"/>
    <n v="1526878800"/>
    <b v="0"/>
    <b v="1"/>
    <s v="film &amp; video/drama"/>
    <n v="426.54838709677421"/>
    <n v="100.17424242424242"/>
    <x v="4"/>
    <s v="drama"/>
    <x v="871"/>
    <d v="1974-11-03T05:18:00"/>
  </r>
  <r>
    <n v="993"/>
    <s v="Erickson-Rogers"/>
    <s v="De-engineered even-keeled definition"/>
    <n v="9800"/>
    <n v="7608"/>
    <x v="3"/>
    <n v="75"/>
    <s v="IT"/>
    <s v="EUR"/>
    <n v="1450936800"/>
    <n v="1452405600"/>
    <b v="0"/>
    <b v="1"/>
    <s v="photography/photography books"/>
    <n v="77.632653061224488"/>
    <n v="101.44"/>
    <x v="7"/>
    <s v="photography books"/>
    <x v="872"/>
    <d v="1974-08-09T00:36:00"/>
  </r>
  <r>
    <n v="994"/>
    <s v="Leach, Rich and Price"/>
    <s v="Implemented bi-directional flexibility"/>
    <n v="141100"/>
    <n v="74073"/>
    <x v="0"/>
    <n v="842"/>
    <s v="US"/>
    <s v="USD"/>
    <n v="1413522000"/>
    <n v="1414040400"/>
    <b v="0"/>
    <b v="1"/>
    <s v="publishing/translations"/>
    <n v="52.496810772501767"/>
    <n v="87.972684085510693"/>
    <x v="5"/>
    <s v="translations"/>
    <x v="873"/>
    <d v="1974-06-25T14:54:00"/>
  </r>
  <r>
    <n v="995"/>
    <s v="Manning-Hamilton"/>
    <s v="Vision-oriented scalable definition"/>
    <n v="97300"/>
    <n v="153216"/>
    <x v="1"/>
    <n v="2043"/>
    <s v="US"/>
    <s v="USD"/>
    <n v="1541307600"/>
    <n v="1543816800"/>
    <b v="0"/>
    <b v="1"/>
    <s v="food/food trucks"/>
    <n v="157.46762589928059"/>
    <n v="74.995594713656388"/>
    <x v="0"/>
    <s v="food trucks"/>
    <x v="874"/>
    <d v="1974-11-22T19:48:00"/>
  </r>
  <r>
    <n v="996"/>
    <s v="Butler LLC"/>
    <s v="Future-proofed upward-trending migration"/>
    <n v="6600"/>
    <n v="4814"/>
    <x v="0"/>
    <n v="112"/>
    <s v="US"/>
    <s v="USD"/>
    <n v="1357106400"/>
    <n v="1359698400"/>
    <b v="0"/>
    <b v="0"/>
    <s v="theater/plays"/>
    <n v="72.939393939393938"/>
    <n v="42.982142857142854"/>
    <x v="3"/>
    <s v="plays"/>
    <x v="875"/>
    <d v="1974-04-23T17:24:00"/>
  </r>
  <r>
    <n v="997"/>
    <s v="Ball LLC"/>
    <s v="Right-sized full-range throughput"/>
    <n v="7600"/>
    <n v="4603"/>
    <x v="3"/>
    <n v="139"/>
    <s v="IT"/>
    <s v="EUR"/>
    <n v="1390197600"/>
    <n v="1390629600"/>
    <b v="0"/>
    <b v="0"/>
    <s v="theater/plays"/>
    <n v="60.565789473684205"/>
    <n v="33.115107913669064"/>
    <x v="3"/>
    <s v="plays"/>
    <x v="876"/>
    <d v="1974-05-29T12:36:00"/>
  </r>
  <r>
    <n v="998"/>
    <s v="Taylor, Santiago and Flores"/>
    <s v="Polarized composite customer loyalty"/>
    <n v="66600"/>
    <n v="37823"/>
    <x v="0"/>
    <n v="374"/>
    <s v="US"/>
    <s v="USD"/>
    <n v="1265868000"/>
    <n v="1267077600"/>
    <b v="0"/>
    <b v="1"/>
    <s v="music/indie rock"/>
    <n v="56.791291291291287"/>
    <n v="101.13101604278074"/>
    <x v="1"/>
    <s v="indie rock"/>
    <x v="877"/>
    <d v="1974-01-06T12:36:00"/>
  </r>
  <r>
    <n v="999"/>
    <s v="Hernandez, Norton and Kelley"/>
    <s v="Expanded eco-centric policy"/>
    <n v="111100"/>
    <n v="62819"/>
    <x v="3"/>
    <n v="1122"/>
    <s v="US"/>
    <s v="USD"/>
    <n v="1467176400"/>
    <n v="1467781200"/>
    <b v="0"/>
    <b v="0"/>
    <s v="food/food trucks"/>
    <n v="56.542754275427541"/>
    <n v="55.98841354723708"/>
    <x v="0"/>
    <s v="food trucks"/>
    <x v="878"/>
    <d v="1974-08-26T19:42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0"/>
    <n v="45"/>
    <n v="2"/>
    <n v="48"/>
    <x v="0"/>
    <n v="0.9375"/>
    <n v="4.1666666666666664E-2"/>
  </r>
  <r>
    <x v="1"/>
    <n v="34"/>
    <n v="101"/>
    <n v="10"/>
    <n v="159"/>
    <x v="1"/>
    <n v="0.63522012578616349"/>
    <n v="6.2893081761006289E-2"/>
  </r>
  <r>
    <x v="2"/>
    <n v="142"/>
    <n v="64"/>
    <n v="19"/>
    <n v="217"/>
    <x v="2"/>
    <n v="0.29493087557603687"/>
    <n v="8.755760368663594E-2"/>
  </r>
  <r>
    <x v="3"/>
    <n v="211"/>
    <n v="7"/>
    <n v="1"/>
    <n v="219"/>
    <x v="3"/>
    <n v="3.1963470319634701E-2"/>
    <n v="4.5662100456621002E-3"/>
  </r>
  <r>
    <x v="4"/>
    <n v="0"/>
    <n v="8"/>
    <n v="2"/>
    <n v="10"/>
    <x v="0"/>
    <n v="0.8"/>
    <n v="0.2"/>
  </r>
  <r>
    <x v="5"/>
    <n v="1"/>
    <n v="7"/>
    <n v="0"/>
    <n v="10"/>
    <x v="4"/>
    <n v="0.7"/>
    <n v="0"/>
  </r>
  <r>
    <x v="6"/>
    <n v="0"/>
    <n v="7"/>
    <n v="1"/>
    <n v="8"/>
    <x v="0"/>
    <n v="0.875"/>
    <n v="0.125"/>
  </r>
  <r>
    <x v="7"/>
    <n v="1"/>
    <n v="6"/>
    <n v="3"/>
    <n v="11"/>
    <x v="5"/>
    <n v="0.54545454545454541"/>
    <n v="0.27272727272727271"/>
  </r>
  <r>
    <x v="8"/>
    <n v="1"/>
    <n v="8"/>
    <n v="1"/>
    <n v="10"/>
    <x v="4"/>
    <n v="0.8"/>
    <n v="0.1"/>
  </r>
  <r>
    <x v="9"/>
    <n v="4"/>
    <n v="4"/>
    <n v="1"/>
    <n v="10"/>
    <x v="6"/>
    <n v="0.4"/>
    <n v="0.1"/>
  </r>
  <r>
    <x v="10"/>
    <n v="2"/>
    <n v="7"/>
    <n v="4"/>
    <n v="13"/>
    <x v="7"/>
    <n v="0.53846153846153844"/>
    <n v="0.30769230769230771"/>
  </r>
  <r>
    <x v="11"/>
    <n v="169"/>
    <n v="100"/>
    <n v="13"/>
    <n v="285"/>
    <x v="8"/>
    <n v="0.35087719298245612"/>
    <n v="4.56140350877193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22EFE4-BCDA-43E9-B481-5355BC43C7B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Z1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Row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Col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17"/>
  </colFields>
  <col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2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2B8AC0-E044-40C5-AA17-E3AE48BD5943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5">
        <item sd="0" x="0"/>
        <item sd="0" x="1"/>
        <item sd="0" x="2"/>
        <item sd="0" x="3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4037D5-F136-4856-90FE-F617EBC495F2}" name="PivotTable5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6:D29" firstHeaderRow="0" firstDataRow="1" firstDataCol="1"/>
  <pivotFields count="8">
    <pivotField axis="axisRow" showAll="0">
      <items count="13">
        <item x="1"/>
        <item x="3"/>
        <item x="4"/>
        <item x="5"/>
        <item x="6"/>
        <item x="7"/>
        <item x="8"/>
        <item x="9"/>
        <item x="10"/>
        <item x="2"/>
        <item x="11"/>
        <item x="0"/>
        <item t="default"/>
      </items>
    </pivotField>
    <pivotField showAll="0"/>
    <pivotField showAll="0"/>
    <pivotField showAll="0"/>
    <pivotField showAll="0"/>
    <pivotField dataField="1" numFmtId="10" showAll="0"/>
    <pivotField dataField="1" numFmtId="10" showAll="0"/>
    <pivotField dataField="1" numFmtId="1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Successful " fld="5" baseField="0" baseItem="0" numFmtId="10"/>
    <dataField name="Sum of Percentage Failed " fld="6" baseField="0" baseItem="0" numFmtId="10"/>
    <dataField name="Sum of Percentage Canceled 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1"/>
  <sheetViews>
    <sheetView zoomScale="55" zoomScaleNormal="70" workbookViewId="0">
      <selection activeCell="G3" sqref="G3:G1001"/>
    </sheetView>
  </sheetViews>
  <sheetFormatPr defaultColWidth="10.6640625" defaultRowHeight="15.5" x14ac:dyDescent="0.35"/>
  <cols>
    <col min="1" max="1" width="4.1640625" bestFit="1" customWidth="1"/>
    <col min="2" max="2" width="30.6640625" style="4" bestFit="1" customWidth="1"/>
    <col min="3" max="3" width="33.5" style="3" customWidth="1"/>
    <col min="7" max="7" width="13" bestFit="1" customWidth="1"/>
    <col min="10" max="11" width="11.1640625" bestFit="1" customWidth="1"/>
    <col min="14" max="14" width="28" bestFit="1" customWidth="1"/>
    <col min="15" max="15" width="15.83203125" style="6" customWidth="1"/>
    <col min="16" max="16" width="18.33203125" customWidth="1"/>
    <col min="17" max="17" width="18" customWidth="1"/>
    <col min="18" max="18" width="19.5" customWidth="1"/>
    <col min="19" max="19" width="19.75" customWidth="1"/>
    <col min="20" max="20" width="22.4140625" style="10" customWidth="1"/>
    <col min="21" max="21" width="17.83203125" customWidth="1"/>
  </cols>
  <sheetData>
    <row r="1" spans="1:20" s="1" customFormat="1" x14ac:dyDescent="0.3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5" t="s">
        <v>2029</v>
      </c>
      <c r="P1" s="1" t="s">
        <v>2030</v>
      </c>
      <c r="Q1" s="1" t="s">
        <v>2064</v>
      </c>
      <c r="R1" s="1" t="s">
        <v>2065</v>
      </c>
      <c r="S1" s="1" t="s">
        <v>2071</v>
      </c>
      <c r="T1" s="11" t="s">
        <v>2072</v>
      </c>
    </row>
    <row r="2" spans="1:20" x14ac:dyDescent="0.35">
      <c r="A2">
        <v>0</v>
      </c>
      <c r="B2" s="4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6">
        <f>MAX(0,(E2/D2)*100)</f>
        <v>0</v>
      </c>
      <c r="P2">
        <f>IFERROR(AVERAGE(E2/G2),0)</f>
        <v>0</v>
      </c>
      <c r="Q2" t="s">
        <v>2031</v>
      </c>
      <c r="R2" t="s">
        <v>2032</v>
      </c>
      <c r="S2" s="10">
        <f>J2/864000+DATE(1970,1,1)</f>
        <v>27245.724999999999</v>
      </c>
      <c r="T2" s="12">
        <f>K2/864000+DATE(1970,1,1)</f>
        <v>27247.424999999999</v>
      </c>
    </row>
    <row r="3" spans="1:20" x14ac:dyDescent="0.35">
      <c r="A3">
        <v>1</v>
      </c>
      <c r="B3" s="4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6">
        <f t="shared" ref="O3:O66" si="0">MAX(0,(E3/D3)*100)</f>
        <v>1040</v>
      </c>
      <c r="P3">
        <f>IFERROR(AVERAGE(E3/G3),0)</f>
        <v>92.151898734177209</v>
      </c>
      <c r="Q3" t="s">
        <v>2033</v>
      </c>
      <c r="R3" t="s">
        <v>2034</v>
      </c>
      <c r="S3" s="10">
        <f t="shared" ref="S3:S11" si="1">J3/864000+DATE(1970,1,1)</f>
        <v>27199.120833333334</v>
      </c>
      <c r="T3" s="12">
        <f t="shared" ref="T3:T66" si="2">K3/864000+DATE(1970,1,1)</f>
        <v>27199.320833333335</v>
      </c>
    </row>
    <row r="4" spans="1:20" ht="31" x14ac:dyDescent="0.35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6">
        <f t="shared" si="0"/>
        <v>131.4787822878229</v>
      </c>
      <c r="P4">
        <f t="shared" ref="P4:P66" si="3">IFERROR(AVERAGE(E4/G4),0)</f>
        <v>100.01614035087719</v>
      </c>
      <c r="Q4" t="s">
        <v>2035</v>
      </c>
      <c r="R4" t="s">
        <v>2036</v>
      </c>
      <c r="S4" s="10">
        <f>J4/864000+DATE(1970,1,1)</f>
        <v>27171.625</v>
      </c>
      <c r="T4" s="12">
        <f t="shared" si="2"/>
        <v>27171.825000000001</v>
      </c>
    </row>
    <row r="5" spans="1:20" ht="31" x14ac:dyDescent="0.35">
      <c r="A5">
        <v>3</v>
      </c>
      <c r="B5" s="4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6">
        <f t="shared" si="0"/>
        <v>58.976190476190467</v>
      </c>
      <c r="P5">
        <f t="shared" si="3"/>
        <v>103.20833333333333</v>
      </c>
      <c r="Q5" t="s">
        <v>2033</v>
      </c>
      <c r="R5" t="s">
        <v>2034</v>
      </c>
      <c r="S5" s="10">
        <f t="shared" si="1"/>
        <v>27380.920833333334</v>
      </c>
      <c r="T5" s="12">
        <f t="shared" si="2"/>
        <v>27384.920833333334</v>
      </c>
    </row>
    <row r="6" spans="1:20" x14ac:dyDescent="0.35">
      <c r="A6">
        <v>4</v>
      </c>
      <c r="B6" s="4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6">
        <f t="shared" si="0"/>
        <v>69.276315789473685</v>
      </c>
      <c r="P6">
        <f t="shared" si="3"/>
        <v>99.339622641509436</v>
      </c>
      <c r="Q6" t="s">
        <v>2037</v>
      </c>
      <c r="R6" t="s">
        <v>2038</v>
      </c>
      <c r="S6" s="10">
        <f t="shared" si="1"/>
        <v>27360.625</v>
      </c>
      <c r="T6" s="12">
        <f t="shared" si="2"/>
        <v>27361.025000000001</v>
      </c>
    </row>
    <row r="7" spans="1:20" x14ac:dyDescent="0.35">
      <c r="A7">
        <v>5</v>
      </c>
      <c r="B7" s="4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6">
        <f t="shared" si="0"/>
        <v>173.61842105263159</v>
      </c>
      <c r="P7">
        <f t="shared" si="3"/>
        <v>75.833333333333329</v>
      </c>
      <c r="Q7" t="s">
        <v>2037</v>
      </c>
      <c r="R7" t="s">
        <v>2038</v>
      </c>
      <c r="S7" s="10">
        <f t="shared" si="1"/>
        <v>27127.020833333332</v>
      </c>
      <c r="T7" s="12">
        <f t="shared" si="2"/>
        <v>27128.120833333334</v>
      </c>
    </row>
    <row r="8" spans="1:20" x14ac:dyDescent="0.35">
      <c r="A8">
        <v>6</v>
      </c>
      <c r="B8" s="4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6">
        <f t="shared" si="0"/>
        <v>20.961538461538463</v>
      </c>
      <c r="P8">
        <f t="shared" si="3"/>
        <v>60.555555555555557</v>
      </c>
      <c r="Q8" t="s">
        <v>2039</v>
      </c>
      <c r="R8" t="s">
        <v>2040</v>
      </c>
      <c r="S8" s="10">
        <f t="shared" si="1"/>
        <v>27311.220833333333</v>
      </c>
      <c r="T8" s="12">
        <f t="shared" si="2"/>
        <v>27311.320833333335</v>
      </c>
    </row>
    <row r="9" spans="1:20" x14ac:dyDescent="0.35">
      <c r="A9">
        <v>7</v>
      </c>
      <c r="B9" s="4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6">
        <f t="shared" si="0"/>
        <v>327.57777777777778</v>
      </c>
      <c r="P9">
        <f t="shared" si="3"/>
        <v>64.93832599118943</v>
      </c>
      <c r="Q9" t="s">
        <v>2037</v>
      </c>
      <c r="R9" t="s">
        <v>2038</v>
      </c>
      <c r="S9" s="10">
        <f t="shared" si="1"/>
        <v>27235.020833333332</v>
      </c>
      <c r="T9" s="12">
        <f t="shared" si="2"/>
        <v>27235.220833333333</v>
      </c>
    </row>
    <row r="10" spans="1:20" x14ac:dyDescent="0.35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6">
        <f t="shared" si="0"/>
        <v>19.932788374205266</v>
      </c>
      <c r="P10">
        <f t="shared" si="3"/>
        <v>30.997175141242938</v>
      </c>
      <c r="Q10" t="s">
        <v>2037</v>
      </c>
      <c r="R10" t="s">
        <v>2038</v>
      </c>
      <c r="S10" s="10">
        <f t="shared" si="1"/>
        <v>27052.020833333332</v>
      </c>
      <c r="T10" s="12">
        <f t="shared" si="2"/>
        <v>27052.220833333333</v>
      </c>
    </row>
    <row r="11" spans="1:20" x14ac:dyDescent="0.35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6">
        <f t="shared" si="0"/>
        <v>51.741935483870968</v>
      </c>
      <c r="P11">
        <f t="shared" si="3"/>
        <v>72.909090909090907</v>
      </c>
      <c r="Q11" t="s">
        <v>2033</v>
      </c>
      <c r="R11" t="s">
        <v>2041</v>
      </c>
      <c r="S11" s="10">
        <f t="shared" si="1"/>
        <v>27165.720833333333</v>
      </c>
      <c r="T11" s="12">
        <f t="shared" si="2"/>
        <v>27170.625</v>
      </c>
    </row>
    <row r="12" spans="1:20" x14ac:dyDescent="0.35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6">
        <f t="shared" si="0"/>
        <v>266.11538461538464</v>
      </c>
      <c r="P12">
        <f t="shared" si="3"/>
        <v>62.9</v>
      </c>
      <c r="Q12" t="s">
        <v>2039</v>
      </c>
      <c r="R12" t="s">
        <v>2042</v>
      </c>
      <c r="S12" s="10">
        <f>J:J/864000+DATE(1970,1,1)</f>
        <v>27052.520833333332</v>
      </c>
      <c r="T12" s="12">
        <f t="shared" si="2"/>
        <v>27057.320833333335</v>
      </c>
    </row>
    <row r="13" spans="1:20" ht="31" x14ac:dyDescent="0.35">
      <c r="A13">
        <v>11</v>
      </c>
      <c r="B13" s="4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6">
        <f t="shared" si="0"/>
        <v>48.095238095238095</v>
      </c>
      <c r="P13">
        <f t="shared" si="3"/>
        <v>112.22222222222223</v>
      </c>
      <c r="Q13" t="s">
        <v>2037</v>
      </c>
      <c r="R13" t="s">
        <v>2038</v>
      </c>
      <c r="S13" s="10">
        <f t="shared" ref="S13:S76" si="4">J:J/864000+DATE(1970,1,1)</f>
        <v>27056.320833333335</v>
      </c>
      <c r="T13" s="12">
        <f t="shared" si="2"/>
        <v>27056.920833333334</v>
      </c>
    </row>
    <row r="14" spans="1:20" x14ac:dyDescent="0.35">
      <c r="A14">
        <v>12</v>
      </c>
      <c r="B14" s="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6">
        <f t="shared" si="0"/>
        <v>89.349206349206341</v>
      </c>
      <c r="P14">
        <f t="shared" si="3"/>
        <v>102.34545454545454</v>
      </c>
      <c r="Q14" t="s">
        <v>2039</v>
      </c>
      <c r="R14" t="s">
        <v>2042</v>
      </c>
      <c r="S14" s="10">
        <f t="shared" si="4"/>
        <v>27388.120833333334</v>
      </c>
      <c r="T14" s="12">
        <f t="shared" si="2"/>
        <v>27388.920833333334</v>
      </c>
    </row>
    <row r="15" spans="1:20" ht="31" x14ac:dyDescent="0.35">
      <c r="A15">
        <v>13</v>
      </c>
      <c r="B15" s="4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6">
        <f t="shared" si="0"/>
        <v>245.11904761904765</v>
      </c>
      <c r="P15">
        <f t="shared" si="3"/>
        <v>105.05102040816327</v>
      </c>
      <c r="Q15" t="s">
        <v>2033</v>
      </c>
      <c r="R15" t="s">
        <v>2043</v>
      </c>
      <c r="S15" s="10">
        <f t="shared" si="4"/>
        <v>27265.320833333335</v>
      </c>
      <c r="T15" s="12">
        <f t="shared" si="2"/>
        <v>27266.520833333332</v>
      </c>
    </row>
    <row r="16" spans="1:20" x14ac:dyDescent="0.35">
      <c r="A16">
        <v>14</v>
      </c>
      <c r="B16" s="4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6">
        <f t="shared" si="0"/>
        <v>66.769503546099301</v>
      </c>
      <c r="P16">
        <f t="shared" si="3"/>
        <v>94.144999999999996</v>
      </c>
      <c r="Q16" t="s">
        <v>2033</v>
      </c>
      <c r="R16" t="s">
        <v>2043</v>
      </c>
      <c r="S16" s="10">
        <f t="shared" si="4"/>
        <v>27109.525000000001</v>
      </c>
      <c r="T16" s="12">
        <f t="shared" si="2"/>
        <v>27112.220833333333</v>
      </c>
    </row>
    <row r="17" spans="1:20" x14ac:dyDescent="0.35">
      <c r="A17">
        <v>15</v>
      </c>
      <c r="B17" s="4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6">
        <f t="shared" si="0"/>
        <v>47.307881773399011</v>
      </c>
      <c r="P17">
        <f t="shared" si="3"/>
        <v>84.986725663716811</v>
      </c>
      <c r="Q17" t="s">
        <v>2035</v>
      </c>
      <c r="R17" t="s">
        <v>2044</v>
      </c>
      <c r="S17" s="10">
        <f t="shared" si="4"/>
        <v>27393.025000000001</v>
      </c>
      <c r="T17" s="12">
        <f t="shared" si="2"/>
        <v>27393.424999999999</v>
      </c>
    </row>
    <row r="18" spans="1:20" x14ac:dyDescent="0.35">
      <c r="A18">
        <v>16</v>
      </c>
      <c r="B18" s="4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6">
        <f t="shared" si="0"/>
        <v>649.47058823529414</v>
      </c>
      <c r="P18">
        <f t="shared" si="3"/>
        <v>110.41</v>
      </c>
      <c r="Q18" t="s">
        <v>2045</v>
      </c>
      <c r="R18" t="s">
        <v>2046</v>
      </c>
      <c r="S18" s="10">
        <f t="shared" si="4"/>
        <v>27178.224999999999</v>
      </c>
      <c r="T18" s="12">
        <f t="shared" si="2"/>
        <v>27180.424999999999</v>
      </c>
    </row>
    <row r="19" spans="1:20" x14ac:dyDescent="0.35">
      <c r="A19">
        <v>17</v>
      </c>
      <c r="B19" s="4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6">
        <f t="shared" si="0"/>
        <v>159.39125295508273</v>
      </c>
      <c r="P19">
        <f t="shared" si="3"/>
        <v>107.96236989591674</v>
      </c>
      <c r="Q19" t="s">
        <v>2039</v>
      </c>
      <c r="R19" t="s">
        <v>2047</v>
      </c>
      <c r="S19" s="10">
        <f t="shared" si="4"/>
        <v>27067.625</v>
      </c>
      <c r="T19" s="12">
        <f t="shared" si="2"/>
        <v>27067.724999999999</v>
      </c>
    </row>
    <row r="20" spans="1:20" x14ac:dyDescent="0.35">
      <c r="A20">
        <v>18</v>
      </c>
      <c r="B20" s="4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6">
        <f t="shared" si="0"/>
        <v>66.912087912087912</v>
      </c>
      <c r="P20">
        <f t="shared" si="3"/>
        <v>45.103703703703701</v>
      </c>
      <c r="Q20" t="s">
        <v>2037</v>
      </c>
      <c r="R20" t="s">
        <v>2038</v>
      </c>
      <c r="S20" s="10">
        <f t="shared" si="4"/>
        <v>27347.220833333333</v>
      </c>
      <c r="T20" s="12">
        <f t="shared" si="2"/>
        <v>27348.020833333332</v>
      </c>
    </row>
    <row r="21" spans="1:20" x14ac:dyDescent="0.35">
      <c r="A21">
        <v>19</v>
      </c>
      <c r="B21" s="4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6">
        <f t="shared" si="0"/>
        <v>48.529600000000002</v>
      </c>
      <c r="P21">
        <f t="shared" si="3"/>
        <v>45.001483679525222</v>
      </c>
      <c r="Q21" t="s">
        <v>2037</v>
      </c>
      <c r="R21" t="s">
        <v>2038</v>
      </c>
      <c r="S21" s="10">
        <f t="shared" si="4"/>
        <v>27364.924999999999</v>
      </c>
      <c r="T21" s="12">
        <f t="shared" si="2"/>
        <v>27367.020833333332</v>
      </c>
    </row>
    <row r="22" spans="1:20" x14ac:dyDescent="0.35">
      <c r="A22">
        <v>20</v>
      </c>
      <c r="B22" s="4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6">
        <f t="shared" si="0"/>
        <v>112.24279210925646</v>
      </c>
      <c r="P22">
        <f t="shared" si="3"/>
        <v>105.97134670487107</v>
      </c>
      <c r="Q22" t="s">
        <v>2039</v>
      </c>
      <c r="R22" t="s">
        <v>2042</v>
      </c>
      <c r="S22" s="10">
        <f t="shared" si="4"/>
        <v>27196.920833333334</v>
      </c>
      <c r="T22" s="12">
        <f t="shared" si="2"/>
        <v>27196.920833333334</v>
      </c>
    </row>
    <row r="23" spans="1:20" x14ac:dyDescent="0.35">
      <c r="A23">
        <v>21</v>
      </c>
      <c r="B23" s="4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6">
        <f t="shared" si="0"/>
        <v>40.992553191489364</v>
      </c>
      <c r="P23">
        <f t="shared" si="3"/>
        <v>69.055555555555557</v>
      </c>
      <c r="Q23" t="s">
        <v>2037</v>
      </c>
      <c r="R23" t="s">
        <v>2038</v>
      </c>
      <c r="S23" s="10">
        <f t="shared" si="4"/>
        <v>27089.120833333334</v>
      </c>
      <c r="T23" s="12">
        <f t="shared" si="2"/>
        <v>27092.520833333332</v>
      </c>
    </row>
    <row r="24" spans="1:20" x14ac:dyDescent="0.35">
      <c r="A24">
        <v>22</v>
      </c>
      <c r="B24" s="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6">
        <f t="shared" si="0"/>
        <v>128.07106598984771</v>
      </c>
      <c r="P24">
        <f t="shared" si="3"/>
        <v>85.044943820224717</v>
      </c>
      <c r="Q24" t="s">
        <v>2037</v>
      </c>
      <c r="R24" t="s">
        <v>2038</v>
      </c>
      <c r="S24" s="10">
        <f t="shared" si="4"/>
        <v>27331.420833333334</v>
      </c>
      <c r="T24" s="12">
        <f t="shared" si="2"/>
        <v>27332.920833333334</v>
      </c>
    </row>
    <row r="25" spans="1:20" x14ac:dyDescent="0.35">
      <c r="A25">
        <v>23</v>
      </c>
      <c r="B25" s="4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6">
        <f t="shared" si="0"/>
        <v>332.04444444444448</v>
      </c>
      <c r="P25">
        <f t="shared" si="3"/>
        <v>105.22535211267606</v>
      </c>
      <c r="Q25" t="s">
        <v>2039</v>
      </c>
      <c r="R25" t="s">
        <v>2040</v>
      </c>
      <c r="S25" s="10">
        <f t="shared" si="4"/>
        <v>27363.125</v>
      </c>
      <c r="T25" s="12">
        <f t="shared" si="2"/>
        <v>27368.420833333334</v>
      </c>
    </row>
    <row r="26" spans="1:20" x14ac:dyDescent="0.35">
      <c r="A26">
        <v>24</v>
      </c>
      <c r="B26" s="4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6">
        <f t="shared" si="0"/>
        <v>112.83225108225108</v>
      </c>
      <c r="P26">
        <f t="shared" si="3"/>
        <v>39.003741114852225</v>
      </c>
      <c r="Q26" t="s">
        <v>2035</v>
      </c>
      <c r="R26" t="s">
        <v>2044</v>
      </c>
      <c r="S26" s="10">
        <f t="shared" si="4"/>
        <v>27193.220833333333</v>
      </c>
      <c r="T26" s="12">
        <f t="shared" si="2"/>
        <v>27193.420833333334</v>
      </c>
    </row>
    <row r="27" spans="1:20" x14ac:dyDescent="0.35">
      <c r="A27">
        <v>25</v>
      </c>
      <c r="B27" s="4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6">
        <f t="shared" si="0"/>
        <v>216.43636363636364</v>
      </c>
      <c r="P27">
        <f t="shared" si="3"/>
        <v>73.030674846625772</v>
      </c>
      <c r="Q27" t="s">
        <v>2048</v>
      </c>
      <c r="R27" t="s">
        <v>2049</v>
      </c>
      <c r="S27" s="10">
        <f t="shared" si="4"/>
        <v>27080.220833333333</v>
      </c>
      <c r="T27" s="12">
        <f t="shared" si="2"/>
        <v>27082.220833333333</v>
      </c>
    </row>
    <row r="28" spans="1:20" x14ac:dyDescent="0.35">
      <c r="A28">
        <v>26</v>
      </c>
      <c r="B28" s="4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6">
        <f t="shared" si="0"/>
        <v>48.199069767441863</v>
      </c>
      <c r="P28">
        <f t="shared" si="3"/>
        <v>35.009459459459457</v>
      </c>
      <c r="Q28" t="s">
        <v>2037</v>
      </c>
      <c r="R28" t="s">
        <v>2038</v>
      </c>
      <c r="S28" s="10">
        <f t="shared" si="4"/>
        <v>27343.320833333335</v>
      </c>
      <c r="T28" s="12">
        <f t="shared" si="2"/>
        <v>27346.020833333332</v>
      </c>
    </row>
    <row r="29" spans="1:20" x14ac:dyDescent="0.35">
      <c r="A29">
        <v>27</v>
      </c>
      <c r="B29" s="4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6">
        <f t="shared" si="0"/>
        <v>79.95</v>
      </c>
      <c r="P29">
        <f t="shared" si="3"/>
        <v>106.6</v>
      </c>
      <c r="Q29" t="s">
        <v>2033</v>
      </c>
      <c r="R29" t="s">
        <v>2034</v>
      </c>
      <c r="S29" s="10">
        <f t="shared" si="4"/>
        <v>27240.120833333334</v>
      </c>
      <c r="T29" s="12">
        <f t="shared" si="2"/>
        <v>27240.920833333334</v>
      </c>
    </row>
    <row r="30" spans="1:20" x14ac:dyDescent="0.35">
      <c r="A30">
        <v>28</v>
      </c>
      <c r="B30" s="4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6">
        <f t="shared" si="0"/>
        <v>105.22553516819573</v>
      </c>
      <c r="P30">
        <f t="shared" si="3"/>
        <v>61.997747747747745</v>
      </c>
      <c r="Q30" t="s">
        <v>2037</v>
      </c>
      <c r="R30" t="s">
        <v>2038</v>
      </c>
      <c r="S30" s="10">
        <f t="shared" si="4"/>
        <v>27033.924999999999</v>
      </c>
      <c r="T30" s="12">
        <f t="shared" si="2"/>
        <v>27036.224999999999</v>
      </c>
    </row>
    <row r="31" spans="1:20" x14ac:dyDescent="0.35">
      <c r="A31">
        <v>29</v>
      </c>
      <c r="B31" s="4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6">
        <f t="shared" si="0"/>
        <v>328.89978213507629</v>
      </c>
      <c r="P31">
        <f t="shared" si="3"/>
        <v>94.000622665006233</v>
      </c>
      <c r="Q31" t="s">
        <v>2039</v>
      </c>
      <c r="R31" t="s">
        <v>2050</v>
      </c>
      <c r="S31" s="10">
        <f t="shared" si="4"/>
        <v>27342.220833333333</v>
      </c>
      <c r="T31" s="12">
        <f t="shared" si="2"/>
        <v>27346.220833333333</v>
      </c>
    </row>
    <row r="32" spans="1:20" x14ac:dyDescent="0.35">
      <c r="A32">
        <v>30</v>
      </c>
      <c r="B32" s="4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6">
        <f t="shared" si="0"/>
        <v>160.61111111111111</v>
      </c>
      <c r="P32">
        <f t="shared" si="3"/>
        <v>112.05426356589147</v>
      </c>
      <c r="Q32" t="s">
        <v>2039</v>
      </c>
      <c r="R32" t="s">
        <v>2047</v>
      </c>
      <c r="S32" s="10">
        <f t="shared" si="4"/>
        <v>27373.020833333332</v>
      </c>
      <c r="T32" s="12">
        <f t="shared" si="2"/>
        <v>27373.520833333332</v>
      </c>
    </row>
    <row r="33" spans="1:20" x14ac:dyDescent="0.35">
      <c r="A33">
        <v>31</v>
      </c>
      <c r="B33" s="4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6">
        <f t="shared" si="0"/>
        <v>310</v>
      </c>
      <c r="P33">
        <f t="shared" si="3"/>
        <v>48.008849557522126</v>
      </c>
      <c r="Q33" t="s">
        <v>2048</v>
      </c>
      <c r="R33" t="s">
        <v>2049</v>
      </c>
      <c r="S33" s="10">
        <f t="shared" si="4"/>
        <v>27249.525000000001</v>
      </c>
      <c r="T33" s="12">
        <f t="shared" si="2"/>
        <v>27252.325000000001</v>
      </c>
    </row>
    <row r="34" spans="1:20" x14ac:dyDescent="0.35">
      <c r="A34">
        <v>32</v>
      </c>
      <c r="B34" s="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6">
        <f t="shared" si="0"/>
        <v>86.807920792079202</v>
      </c>
      <c r="P34">
        <f t="shared" si="3"/>
        <v>38.004334633723452</v>
      </c>
      <c r="Q34" t="s">
        <v>2039</v>
      </c>
      <c r="R34" t="s">
        <v>2040</v>
      </c>
      <c r="S34" s="10">
        <f t="shared" si="4"/>
        <v>27323.125</v>
      </c>
      <c r="T34" s="12">
        <f t="shared" si="2"/>
        <v>27325.825000000001</v>
      </c>
    </row>
    <row r="35" spans="1:20" x14ac:dyDescent="0.35">
      <c r="A35">
        <v>33</v>
      </c>
      <c r="B35" s="4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6">
        <f t="shared" si="0"/>
        <v>377.82071713147411</v>
      </c>
      <c r="P35">
        <f t="shared" si="3"/>
        <v>35.000184535892231</v>
      </c>
      <c r="Q35" t="s">
        <v>2037</v>
      </c>
      <c r="R35" t="s">
        <v>2038</v>
      </c>
      <c r="S35" s="10">
        <f t="shared" si="4"/>
        <v>27203.820833333335</v>
      </c>
      <c r="T35" s="12">
        <f t="shared" si="2"/>
        <v>27207.525000000001</v>
      </c>
    </row>
    <row r="36" spans="1:20" ht="31" x14ac:dyDescent="0.35">
      <c r="A36">
        <v>34</v>
      </c>
      <c r="B36" s="4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6">
        <f t="shared" si="0"/>
        <v>150.80645161290323</v>
      </c>
      <c r="P36">
        <f t="shared" si="3"/>
        <v>85</v>
      </c>
      <c r="Q36" t="s">
        <v>2039</v>
      </c>
      <c r="R36" t="s">
        <v>2040</v>
      </c>
      <c r="S36" s="10">
        <f t="shared" si="4"/>
        <v>27293.820833333335</v>
      </c>
      <c r="T36" s="12">
        <f t="shared" si="2"/>
        <v>27294.320833333335</v>
      </c>
    </row>
    <row r="37" spans="1:20" x14ac:dyDescent="0.35">
      <c r="A37">
        <v>35</v>
      </c>
      <c r="B37" s="4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6">
        <f t="shared" si="0"/>
        <v>150.30119521912351</v>
      </c>
      <c r="P37">
        <f t="shared" si="3"/>
        <v>95.993893129770996</v>
      </c>
      <c r="Q37" t="s">
        <v>2039</v>
      </c>
      <c r="R37" t="s">
        <v>2042</v>
      </c>
      <c r="S37" s="10">
        <f t="shared" si="4"/>
        <v>27360.525000000001</v>
      </c>
      <c r="T37" s="12">
        <f t="shared" si="2"/>
        <v>27364.724999999999</v>
      </c>
    </row>
    <row r="38" spans="1:20" x14ac:dyDescent="0.35">
      <c r="A38">
        <v>36</v>
      </c>
      <c r="B38" s="4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6">
        <f t="shared" si="0"/>
        <v>157.28571428571431</v>
      </c>
      <c r="P38">
        <f t="shared" si="3"/>
        <v>68.8125</v>
      </c>
      <c r="Q38" t="s">
        <v>2037</v>
      </c>
      <c r="R38" t="s">
        <v>2038</v>
      </c>
      <c r="S38" s="10">
        <f t="shared" si="4"/>
        <v>27072.125</v>
      </c>
      <c r="T38" s="12">
        <f t="shared" si="2"/>
        <v>27074.620833333334</v>
      </c>
    </row>
    <row r="39" spans="1:20" ht="31" x14ac:dyDescent="0.35">
      <c r="A39">
        <v>37</v>
      </c>
      <c r="B39" s="4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6">
        <f t="shared" si="0"/>
        <v>139.98765432098764</v>
      </c>
      <c r="P39">
        <f t="shared" si="3"/>
        <v>105.97196261682242</v>
      </c>
      <c r="Q39" t="s">
        <v>2045</v>
      </c>
      <c r="R39" t="s">
        <v>2051</v>
      </c>
      <c r="S39" s="10">
        <f t="shared" si="4"/>
        <v>27386.520833333332</v>
      </c>
      <c r="T39" s="12">
        <f t="shared" si="2"/>
        <v>27389.825000000001</v>
      </c>
    </row>
    <row r="40" spans="1:20" x14ac:dyDescent="0.35">
      <c r="A40">
        <v>38</v>
      </c>
      <c r="B40" s="4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6">
        <f t="shared" si="0"/>
        <v>325.32258064516128</v>
      </c>
      <c r="P40">
        <f t="shared" si="3"/>
        <v>75.261194029850742</v>
      </c>
      <c r="Q40" t="s">
        <v>2052</v>
      </c>
      <c r="R40" t="s">
        <v>2053</v>
      </c>
      <c r="S40" s="10">
        <f t="shared" si="4"/>
        <v>27059.020833333332</v>
      </c>
      <c r="T40" s="12">
        <f t="shared" si="2"/>
        <v>27059.520833333332</v>
      </c>
    </row>
    <row r="41" spans="1:20" x14ac:dyDescent="0.35">
      <c r="A41">
        <v>39</v>
      </c>
      <c r="B41" s="4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6">
        <f t="shared" si="0"/>
        <v>50.777777777777779</v>
      </c>
      <c r="P41">
        <f t="shared" si="3"/>
        <v>57.125</v>
      </c>
      <c r="Q41" t="s">
        <v>2037</v>
      </c>
      <c r="R41" t="s">
        <v>2038</v>
      </c>
      <c r="S41" s="10">
        <f t="shared" si="4"/>
        <v>27145.125</v>
      </c>
      <c r="T41" s="12">
        <f t="shared" si="2"/>
        <v>27146.520833333332</v>
      </c>
    </row>
    <row r="42" spans="1:20" x14ac:dyDescent="0.35">
      <c r="A42">
        <v>40</v>
      </c>
      <c r="B42" s="4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6">
        <f t="shared" si="0"/>
        <v>169.06818181818181</v>
      </c>
      <c r="P42">
        <f t="shared" si="3"/>
        <v>75.141414141414145</v>
      </c>
      <c r="Q42" t="s">
        <v>2035</v>
      </c>
      <c r="R42" t="s">
        <v>2044</v>
      </c>
      <c r="S42" s="10">
        <f t="shared" si="4"/>
        <v>27045.520833333332</v>
      </c>
      <c r="T42" s="12">
        <f t="shared" si="2"/>
        <v>27047.420833333334</v>
      </c>
    </row>
    <row r="43" spans="1:20" x14ac:dyDescent="0.35">
      <c r="A43">
        <v>41</v>
      </c>
      <c r="B43" s="4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6">
        <f t="shared" si="0"/>
        <v>212.92857142857144</v>
      </c>
      <c r="P43">
        <f t="shared" si="3"/>
        <v>107.42342342342343</v>
      </c>
      <c r="Q43" t="s">
        <v>2033</v>
      </c>
      <c r="R43" t="s">
        <v>2034</v>
      </c>
      <c r="S43" s="10">
        <f t="shared" si="4"/>
        <v>27127.720833333333</v>
      </c>
      <c r="T43" s="12">
        <f t="shared" si="2"/>
        <v>27130.320833333335</v>
      </c>
    </row>
    <row r="44" spans="1:20" x14ac:dyDescent="0.35">
      <c r="A44">
        <v>42</v>
      </c>
      <c r="B44" s="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6">
        <f t="shared" si="0"/>
        <v>443.94444444444446</v>
      </c>
      <c r="P44">
        <f t="shared" si="3"/>
        <v>35.995495495495497</v>
      </c>
      <c r="Q44" t="s">
        <v>2031</v>
      </c>
      <c r="R44" t="s">
        <v>2032</v>
      </c>
      <c r="S44" s="10">
        <f t="shared" si="4"/>
        <v>27084.920833333334</v>
      </c>
      <c r="T44" s="12">
        <f t="shared" si="2"/>
        <v>27085.820833333335</v>
      </c>
    </row>
    <row r="45" spans="1:20" x14ac:dyDescent="0.35">
      <c r="A45">
        <v>43</v>
      </c>
      <c r="B45" s="4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6">
        <f t="shared" si="0"/>
        <v>185.9390243902439</v>
      </c>
      <c r="P45">
        <f t="shared" si="3"/>
        <v>26.998873148744366</v>
      </c>
      <c r="Q45" t="s">
        <v>2045</v>
      </c>
      <c r="R45" t="s">
        <v>2054</v>
      </c>
      <c r="S45" s="10">
        <f t="shared" si="4"/>
        <v>27196.520833333332</v>
      </c>
      <c r="T45" s="12">
        <f t="shared" si="2"/>
        <v>27198.120833333334</v>
      </c>
    </row>
    <row r="46" spans="1:20" x14ac:dyDescent="0.35">
      <c r="A46">
        <v>44</v>
      </c>
      <c r="B46" s="4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6">
        <f t="shared" si="0"/>
        <v>658.8125</v>
      </c>
      <c r="P46">
        <f t="shared" si="3"/>
        <v>107.56122448979592</v>
      </c>
      <c r="Q46" t="s">
        <v>2045</v>
      </c>
      <c r="R46" t="s">
        <v>2051</v>
      </c>
      <c r="S46" s="10">
        <f t="shared" si="4"/>
        <v>27366.220833333333</v>
      </c>
      <c r="T46" s="12">
        <f t="shared" si="2"/>
        <v>27366.320833333335</v>
      </c>
    </row>
    <row r="47" spans="1:20" ht="31" x14ac:dyDescent="0.35">
      <c r="A47">
        <v>45</v>
      </c>
      <c r="B47" s="4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6">
        <f t="shared" si="0"/>
        <v>47.684210526315788</v>
      </c>
      <c r="P47">
        <f t="shared" si="3"/>
        <v>94.375</v>
      </c>
      <c r="Q47" t="s">
        <v>2037</v>
      </c>
      <c r="R47" t="s">
        <v>2038</v>
      </c>
      <c r="S47" s="10">
        <f t="shared" si="4"/>
        <v>27279.720833333333</v>
      </c>
      <c r="T47" s="12">
        <f t="shared" si="2"/>
        <v>27281.224999999999</v>
      </c>
    </row>
    <row r="48" spans="1:20" x14ac:dyDescent="0.35">
      <c r="A48">
        <v>46</v>
      </c>
      <c r="B48" s="4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6">
        <f t="shared" si="0"/>
        <v>114.78378378378378</v>
      </c>
      <c r="P48">
        <f t="shared" si="3"/>
        <v>46.163043478260867</v>
      </c>
      <c r="Q48" t="s">
        <v>2033</v>
      </c>
      <c r="R48" t="s">
        <v>2034</v>
      </c>
      <c r="S48" s="10">
        <f t="shared" si="4"/>
        <v>27048.820833333335</v>
      </c>
      <c r="T48" s="12">
        <f t="shared" si="2"/>
        <v>27051.120833333334</v>
      </c>
    </row>
    <row r="49" spans="1:20" x14ac:dyDescent="0.35">
      <c r="A49">
        <v>47</v>
      </c>
      <c r="B49" s="4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6">
        <f t="shared" si="0"/>
        <v>475.26666666666665</v>
      </c>
      <c r="P49">
        <f t="shared" si="3"/>
        <v>47.845637583892618</v>
      </c>
      <c r="Q49" t="s">
        <v>2037</v>
      </c>
      <c r="R49" t="s">
        <v>2038</v>
      </c>
      <c r="S49" s="10">
        <f t="shared" si="4"/>
        <v>27184.820833333335</v>
      </c>
      <c r="T49" s="12">
        <f t="shared" si="2"/>
        <v>27187.820833333335</v>
      </c>
    </row>
    <row r="50" spans="1:20" x14ac:dyDescent="0.35">
      <c r="A50">
        <v>48</v>
      </c>
      <c r="B50" s="4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6">
        <f t="shared" si="0"/>
        <v>386.97297297297297</v>
      </c>
      <c r="P50">
        <f t="shared" si="3"/>
        <v>53.007815713698065</v>
      </c>
      <c r="Q50" t="s">
        <v>2037</v>
      </c>
      <c r="R50" t="s">
        <v>2038</v>
      </c>
      <c r="S50" s="10">
        <f t="shared" si="4"/>
        <v>27230.120833333334</v>
      </c>
      <c r="T50" s="12">
        <f t="shared" si="2"/>
        <v>27231.320833333335</v>
      </c>
    </row>
    <row r="51" spans="1:20" x14ac:dyDescent="0.35">
      <c r="A51">
        <v>49</v>
      </c>
      <c r="B51" s="4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6">
        <f t="shared" si="0"/>
        <v>189.625</v>
      </c>
      <c r="P51">
        <f t="shared" si="3"/>
        <v>45.059405940594061</v>
      </c>
      <c r="Q51" t="s">
        <v>2033</v>
      </c>
      <c r="R51" t="s">
        <v>2034</v>
      </c>
      <c r="S51" s="10">
        <f t="shared" si="4"/>
        <v>27387.920833333334</v>
      </c>
      <c r="T51" s="12">
        <f t="shared" si="2"/>
        <v>27392.424999999999</v>
      </c>
    </row>
    <row r="52" spans="1:20" ht="31" x14ac:dyDescent="0.35">
      <c r="A52">
        <v>50</v>
      </c>
      <c r="B52" s="4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6">
        <f t="shared" si="0"/>
        <v>2</v>
      </c>
      <c r="P52">
        <f t="shared" si="3"/>
        <v>2</v>
      </c>
      <c r="Q52" t="s">
        <v>2033</v>
      </c>
      <c r="R52" t="s">
        <v>2055</v>
      </c>
      <c r="S52" s="10">
        <f t="shared" si="4"/>
        <v>27160.820833333335</v>
      </c>
      <c r="T52" s="12">
        <f t="shared" si="2"/>
        <v>27163.620833333334</v>
      </c>
    </row>
    <row r="53" spans="1:20" x14ac:dyDescent="0.35">
      <c r="A53">
        <v>51</v>
      </c>
      <c r="B53" s="4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6">
        <f t="shared" si="0"/>
        <v>91.867805186590772</v>
      </c>
      <c r="P53">
        <f t="shared" si="3"/>
        <v>99.006816632583508</v>
      </c>
      <c r="Q53" t="s">
        <v>2035</v>
      </c>
      <c r="R53" t="s">
        <v>2044</v>
      </c>
      <c r="S53" s="10">
        <f t="shared" si="4"/>
        <v>27111.620833333334</v>
      </c>
      <c r="T53" s="12">
        <f t="shared" si="2"/>
        <v>27113.220833333333</v>
      </c>
    </row>
    <row r="54" spans="1:20" x14ac:dyDescent="0.35">
      <c r="A54">
        <v>52</v>
      </c>
      <c r="B54" s="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6">
        <f t="shared" si="0"/>
        <v>34.152777777777779</v>
      </c>
      <c r="P54">
        <f t="shared" si="3"/>
        <v>32.786666666666669</v>
      </c>
      <c r="Q54" t="s">
        <v>2037</v>
      </c>
      <c r="R54" t="s">
        <v>2038</v>
      </c>
      <c r="S54" s="10">
        <f t="shared" si="4"/>
        <v>27055.720833333333</v>
      </c>
      <c r="T54" s="12">
        <f t="shared" si="2"/>
        <v>27056.120833333334</v>
      </c>
    </row>
    <row r="55" spans="1:20" x14ac:dyDescent="0.35">
      <c r="A55">
        <v>53</v>
      </c>
      <c r="B55" s="4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6">
        <f t="shared" si="0"/>
        <v>140.40909090909091</v>
      </c>
      <c r="P55">
        <f t="shared" si="3"/>
        <v>59.119617224880386</v>
      </c>
      <c r="Q55" t="s">
        <v>2039</v>
      </c>
      <c r="R55" t="s">
        <v>2042</v>
      </c>
      <c r="S55" s="10">
        <f t="shared" si="4"/>
        <v>27190.020833333332</v>
      </c>
      <c r="T55" s="12">
        <f t="shared" si="2"/>
        <v>27193.920833333334</v>
      </c>
    </row>
    <row r="56" spans="1:20" ht="31" x14ac:dyDescent="0.35">
      <c r="A56">
        <v>54</v>
      </c>
      <c r="B56" s="4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6">
        <f t="shared" si="0"/>
        <v>89.86666666666666</v>
      </c>
      <c r="P56">
        <f t="shared" si="3"/>
        <v>44.93333333333333</v>
      </c>
      <c r="Q56" t="s">
        <v>2035</v>
      </c>
      <c r="R56" t="s">
        <v>2044</v>
      </c>
      <c r="S56" s="10">
        <f t="shared" si="4"/>
        <v>27329.125</v>
      </c>
      <c r="T56" s="12">
        <f t="shared" si="2"/>
        <v>27329.720833333333</v>
      </c>
    </row>
    <row r="57" spans="1:20" x14ac:dyDescent="0.35">
      <c r="A57">
        <v>55</v>
      </c>
      <c r="B57" s="4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6">
        <f t="shared" si="0"/>
        <v>177.96969696969697</v>
      </c>
      <c r="P57">
        <f t="shared" si="3"/>
        <v>89.664122137404576</v>
      </c>
      <c r="Q57" t="s">
        <v>2033</v>
      </c>
      <c r="R57" t="s">
        <v>2056</v>
      </c>
      <c r="S57" s="10">
        <f t="shared" si="4"/>
        <v>27343.220833333333</v>
      </c>
      <c r="T57" s="12">
        <f t="shared" si="2"/>
        <v>27343.720833333333</v>
      </c>
    </row>
    <row r="58" spans="1:20" ht="31" x14ac:dyDescent="0.35">
      <c r="A58">
        <v>56</v>
      </c>
      <c r="B58" s="4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6">
        <f t="shared" si="0"/>
        <v>143.66249999999999</v>
      </c>
      <c r="P58">
        <f t="shared" si="3"/>
        <v>70.079268292682926</v>
      </c>
      <c r="Q58" t="s">
        <v>2035</v>
      </c>
      <c r="R58" t="s">
        <v>2044</v>
      </c>
      <c r="S58" s="10">
        <f t="shared" si="4"/>
        <v>27213.525000000001</v>
      </c>
      <c r="T58" s="12">
        <f t="shared" si="2"/>
        <v>27214.224999999999</v>
      </c>
    </row>
    <row r="59" spans="1:20" x14ac:dyDescent="0.35">
      <c r="A59">
        <v>57</v>
      </c>
      <c r="B59" s="4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6">
        <f t="shared" si="0"/>
        <v>215.27586206896552</v>
      </c>
      <c r="P59">
        <f t="shared" si="3"/>
        <v>31.059701492537314</v>
      </c>
      <c r="Q59" t="s">
        <v>2048</v>
      </c>
      <c r="R59" t="s">
        <v>2049</v>
      </c>
      <c r="S59" s="10">
        <f t="shared" si="4"/>
        <v>27310.020833333332</v>
      </c>
      <c r="T59" s="12">
        <f t="shared" si="2"/>
        <v>27311.220833333333</v>
      </c>
    </row>
    <row r="60" spans="1:20" x14ac:dyDescent="0.35">
      <c r="A60">
        <v>58</v>
      </c>
      <c r="B60" s="4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6">
        <f t="shared" si="0"/>
        <v>227.11111111111114</v>
      </c>
      <c r="P60">
        <f t="shared" si="3"/>
        <v>29.061611374407583</v>
      </c>
      <c r="Q60" t="s">
        <v>2037</v>
      </c>
      <c r="R60" t="s">
        <v>2038</v>
      </c>
      <c r="S60" s="10">
        <f t="shared" si="4"/>
        <v>27238.920833333334</v>
      </c>
      <c r="T60" s="12">
        <f t="shared" si="2"/>
        <v>27240.220833333333</v>
      </c>
    </row>
    <row r="61" spans="1:20" x14ac:dyDescent="0.35">
      <c r="A61">
        <v>59</v>
      </c>
      <c r="B61" s="4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6">
        <f t="shared" si="0"/>
        <v>275.07142857142861</v>
      </c>
      <c r="P61">
        <f t="shared" si="3"/>
        <v>30.0859375</v>
      </c>
      <c r="Q61" t="s">
        <v>2037</v>
      </c>
      <c r="R61" t="s">
        <v>2038</v>
      </c>
      <c r="S61" s="10">
        <f t="shared" si="4"/>
        <v>27301.920833333334</v>
      </c>
      <c r="T61" s="12">
        <f t="shared" si="2"/>
        <v>27303.420833333334</v>
      </c>
    </row>
    <row r="62" spans="1:20" x14ac:dyDescent="0.35">
      <c r="A62">
        <v>60</v>
      </c>
      <c r="B62" s="4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6">
        <f t="shared" si="0"/>
        <v>144.37048832271762</v>
      </c>
      <c r="P62">
        <f t="shared" si="3"/>
        <v>84.998125000000002</v>
      </c>
      <c r="Q62" t="s">
        <v>2037</v>
      </c>
      <c r="R62" t="s">
        <v>2038</v>
      </c>
      <c r="S62" s="10">
        <f t="shared" si="4"/>
        <v>27122.820833333335</v>
      </c>
      <c r="T62" s="12">
        <f t="shared" si="2"/>
        <v>27123.120833333334</v>
      </c>
    </row>
    <row r="63" spans="1:20" ht="31" x14ac:dyDescent="0.35">
      <c r="A63">
        <v>61</v>
      </c>
      <c r="B63" s="4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6">
        <f t="shared" si="0"/>
        <v>92.74598393574297</v>
      </c>
      <c r="P63">
        <f t="shared" si="3"/>
        <v>82.001775410563695</v>
      </c>
      <c r="Q63" t="s">
        <v>2037</v>
      </c>
      <c r="R63" t="s">
        <v>2038</v>
      </c>
      <c r="S63" s="10">
        <f t="shared" si="4"/>
        <v>27071.625</v>
      </c>
      <c r="T63" s="12">
        <f t="shared" si="2"/>
        <v>27075.620833333334</v>
      </c>
    </row>
    <row r="64" spans="1:20" x14ac:dyDescent="0.35">
      <c r="A64">
        <v>62</v>
      </c>
      <c r="B64" s="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6">
        <f t="shared" si="0"/>
        <v>722.6</v>
      </c>
      <c r="P64">
        <f t="shared" si="3"/>
        <v>58.040160642570278</v>
      </c>
      <c r="Q64" t="s">
        <v>2035</v>
      </c>
      <c r="R64" t="s">
        <v>2036</v>
      </c>
      <c r="S64" s="10">
        <f t="shared" si="4"/>
        <v>27228.120833333334</v>
      </c>
      <c r="T64" s="12">
        <f t="shared" si="2"/>
        <v>27228.220833333333</v>
      </c>
    </row>
    <row r="65" spans="1:20" x14ac:dyDescent="0.35">
      <c r="A65">
        <v>63</v>
      </c>
      <c r="B65" s="4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6">
        <f t="shared" si="0"/>
        <v>11.851063829787234</v>
      </c>
      <c r="P65">
        <f t="shared" si="3"/>
        <v>111.4</v>
      </c>
      <c r="Q65" t="s">
        <v>2037</v>
      </c>
      <c r="R65" t="s">
        <v>2038</v>
      </c>
      <c r="S65" s="10">
        <f t="shared" si="4"/>
        <v>27297.420833333334</v>
      </c>
      <c r="T65" s="12">
        <f t="shared" si="2"/>
        <v>27298.020833333332</v>
      </c>
    </row>
    <row r="66" spans="1:20" x14ac:dyDescent="0.35">
      <c r="A66">
        <v>64</v>
      </c>
      <c r="B66" s="4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6">
        <f t="shared" si="0"/>
        <v>97.642857142857139</v>
      </c>
      <c r="P66">
        <f t="shared" si="3"/>
        <v>71.94736842105263</v>
      </c>
      <c r="Q66" t="s">
        <v>2035</v>
      </c>
      <c r="R66" t="s">
        <v>2036</v>
      </c>
      <c r="S66" s="10">
        <f t="shared" si="4"/>
        <v>27340.420833333334</v>
      </c>
      <c r="T66" s="12">
        <f t="shared" si="2"/>
        <v>27341.920833333334</v>
      </c>
    </row>
    <row r="67" spans="1:20" x14ac:dyDescent="0.35">
      <c r="A67">
        <v>65</v>
      </c>
      <c r="B67" s="4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6">
        <f t="shared" ref="O67:O130" si="5">MAX(0,(E67/D67)*100)</f>
        <v>236.14754098360655</v>
      </c>
      <c r="P67">
        <f t="shared" ref="P67:P130" si="6">IFERROR(AVERAGE(E67/G67),0)</f>
        <v>61.038135593220339</v>
      </c>
      <c r="Q67" t="s">
        <v>2037</v>
      </c>
      <c r="R67" t="s">
        <v>2038</v>
      </c>
      <c r="S67" s="10">
        <f t="shared" si="4"/>
        <v>27069.125</v>
      </c>
      <c r="T67" s="12">
        <f t="shared" ref="T67:T130" si="7">K67/864000+DATE(1970,1,1)</f>
        <v>27069.825000000001</v>
      </c>
    </row>
    <row r="68" spans="1:20" x14ac:dyDescent="0.35">
      <c r="A68">
        <v>66</v>
      </c>
      <c r="B68" s="4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6">
        <f t="shared" si="5"/>
        <v>45.068965517241381</v>
      </c>
      <c r="P68">
        <f t="shared" si="6"/>
        <v>108.91666666666667</v>
      </c>
      <c r="Q68" t="s">
        <v>2037</v>
      </c>
      <c r="R68" t="s">
        <v>2038</v>
      </c>
      <c r="S68" s="10">
        <f t="shared" si="4"/>
        <v>27222.320833333335</v>
      </c>
      <c r="T68" s="12">
        <f t="shared" si="7"/>
        <v>27222.820833333335</v>
      </c>
    </row>
    <row r="69" spans="1:20" ht="31" x14ac:dyDescent="0.35">
      <c r="A69">
        <v>67</v>
      </c>
      <c r="B69" s="4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6">
        <f t="shared" si="5"/>
        <v>162.38567493112947</v>
      </c>
      <c r="P69">
        <f t="shared" si="6"/>
        <v>29.001722017220171</v>
      </c>
      <c r="Q69" t="s">
        <v>2035</v>
      </c>
      <c r="R69" t="s">
        <v>2044</v>
      </c>
      <c r="S69" s="10">
        <f t="shared" si="4"/>
        <v>27032.424999999999</v>
      </c>
      <c r="T69" s="12">
        <f t="shared" si="7"/>
        <v>27032.924999999999</v>
      </c>
    </row>
    <row r="70" spans="1:20" x14ac:dyDescent="0.35">
      <c r="A70">
        <v>68</v>
      </c>
      <c r="B70" s="4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6">
        <f t="shared" si="5"/>
        <v>254.52631578947367</v>
      </c>
      <c r="P70">
        <f t="shared" si="6"/>
        <v>58.975609756097562</v>
      </c>
      <c r="Q70" t="s">
        <v>2037</v>
      </c>
      <c r="R70" t="s">
        <v>2038</v>
      </c>
      <c r="S70" s="10">
        <f t="shared" si="4"/>
        <v>27306.420833333334</v>
      </c>
      <c r="T70" s="12">
        <f t="shared" si="7"/>
        <v>27311.120833333334</v>
      </c>
    </row>
    <row r="71" spans="1:20" x14ac:dyDescent="0.35">
      <c r="A71">
        <v>69</v>
      </c>
      <c r="B71" s="4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6">
        <f t="shared" si="5"/>
        <v>24.063291139240505</v>
      </c>
      <c r="P71">
        <f t="shared" si="6"/>
        <v>111.82352941176471</v>
      </c>
      <c r="Q71" t="s">
        <v>2037</v>
      </c>
      <c r="R71" t="s">
        <v>2038</v>
      </c>
      <c r="S71" s="10">
        <f t="shared" si="4"/>
        <v>27065.224999999999</v>
      </c>
      <c r="T71" s="12">
        <f t="shared" si="7"/>
        <v>27068.625</v>
      </c>
    </row>
    <row r="72" spans="1:20" x14ac:dyDescent="0.35">
      <c r="A72">
        <v>70</v>
      </c>
      <c r="B72" s="4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6">
        <f t="shared" si="5"/>
        <v>123.74140625000001</v>
      </c>
      <c r="P72">
        <f t="shared" si="6"/>
        <v>63.995555555555555</v>
      </c>
      <c r="Q72" t="s">
        <v>2037</v>
      </c>
      <c r="R72" t="s">
        <v>2038</v>
      </c>
      <c r="S72" s="10">
        <f t="shared" si="4"/>
        <v>27060.520833333332</v>
      </c>
      <c r="T72" s="12">
        <f t="shared" si="7"/>
        <v>27065.424999999999</v>
      </c>
    </row>
    <row r="73" spans="1:20" ht="31" x14ac:dyDescent="0.35">
      <c r="A73">
        <v>71</v>
      </c>
      <c r="B73" s="4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6">
        <f t="shared" si="5"/>
        <v>108.06666666666666</v>
      </c>
      <c r="P73">
        <f t="shared" si="6"/>
        <v>85.315789473684205</v>
      </c>
      <c r="Q73" t="s">
        <v>2037</v>
      </c>
      <c r="R73" t="s">
        <v>2038</v>
      </c>
      <c r="S73" s="10">
        <f t="shared" si="4"/>
        <v>27392.025000000001</v>
      </c>
      <c r="T73" s="12">
        <f t="shared" si="7"/>
        <v>27392.424999999999</v>
      </c>
    </row>
    <row r="74" spans="1:20" x14ac:dyDescent="0.35">
      <c r="A74">
        <v>72</v>
      </c>
      <c r="B74" s="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6">
        <f t="shared" si="5"/>
        <v>670.33333333333326</v>
      </c>
      <c r="P74">
        <f t="shared" si="6"/>
        <v>74.481481481481481</v>
      </c>
      <c r="Q74" t="s">
        <v>2039</v>
      </c>
      <c r="R74" t="s">
        <v>2047</v>
      </c>
      <c r="S74" s="10">
        <f t="shared" si="4"/>
        <v>27230.720833333333</v>
      </c>
      <c r="T74" s="12">
        <f t="shared" si="7"/>
        <v>27234.320833333335</v>
      </c>
    </row>
    <row r="75" spans="1:20" x14ac:dyDescent="0.35">
      <c r="A75">
        <v>73</v>
      </c>
      <c r="B75" s="4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6">
        <f t="shared" si="5"/>
        <v>660.92857142857144</v>
      </c>
      <c r="P75">
        <f t="shared" si="6"/>
        <v>105.14772727272727</v>
      </c>
      <c r="Q75" t="s">
        <v>2033</v>
      </c>
      <c r="R75" t="s">
        <v>2056</v>
      </c>
      <c r="S75" s="10">
        <f t="shared" si="4"/>
        <v>27282.224999999999</v>
      </c>
      <c r="T75" s="12">
        <f t="shared" si="7"/>
        <v>27282.525000000001</v>
      </c>
    </row>
    <row r="76" spans="1:20" x14ac:dyDescent="0.35">
      <c r="A76">
        <v>74</v>
      </c>
      <c r="B76" s="4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6">
        <f t="shared" si="5"/>
        <v>122.46153846153847</v>
      </c>
      <c r="P76">
        <f t="shared" si="6"/>
        <v>56.188235294117646</v>
      </c>
      <c r="Q76" t="s">
        <v>2033</v>
      </c>
      <c r="R76" t="s">
        <v>2055</v>
      </c>
      <c r="S76" s="10">
        <f t="shared" si="4"/>
        <v>27257.720833333333</v>
      </c>
      <c r="T76" s="12">
        <f t="shared" si="7"/>
        <v>27257.820833333335</v>
      </c>
    </row>
    <row r="77" spans="1:20" x14ac:dyDescent="0.35">
      <c r="A77">
        <v>75</v>
      </c>
      <c r="B77" s="4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6">
        <f t="shared" si="5"/>
        <v>150.57731958762886</v>
      </c>
      <c r="P77">
        <f t="shared" si="6"/>
        <v>85.917647058823533</v>
      </c>
      <c r="Q77" t="s">
        <v>2052</v>
      </c>
      <c r="R77" t="s">
        <v>2053</v>
      </c>
      <c r="S77" s="10">
        <f t="shared" ref="S77:S140" si="8">J:J/864000+DATE(1970,1,1)</f>
        <v>27341.720833333333</v>
      </c>
      <c r="T77" s="12">
        <f t="shared" si="7"/>
        <v>27342.520833333332</v>
      </c>
    </row>
    <row r="78" spans="1:20" x14ac:dyDescent="0.35">
      <c r="A78">
        <v>76</v>
      </c>
      <c r="B78" s="4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6">
        <f t="shared" si="5"/>
        <v>78.106590724165997</v>
      </c>
      <c r="P78">
        <f t="shared" si="6"/>
        <v>57.00296912114014</v>
      </c>
      <c r="Q78" t="s">
        <v>2037</v>
      </c>
      <c r="R78" t="s">
        <v>2038</v>
      </c>
      <c r="S78" s="10">
        <f t="shared" si="8"/>
        <v>27214.825000000001</v>
      </c>
      <c r="T78" s="12">
        <f t="shared" si="7"/>
        <v>27219.720833333333</v>
      </c>
    </row>
    <row r="79" spans="1:20" x14ac:dyDescent="0.35">
      <c r="A79">
        <v>77</v>
      </c>
      <c r="B79" s="4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6">
        <f t="shared" si="5"/>
        <v>46.94736842105263</v>
      </c>
      <c r="P79">
        <f t="shared" si="6"/>
        <v>79.642857142857139</v>
      </c>
      <c r="Q79" t="s">
        <v>2039</v>
      </c>
      <c r="R79" t="s">
        <v>2047</v>
      </c>
      <c r="S79" s="10">
        <f t="shared" si="8"/>
        <v>27056.920833333334</v>
      </c>
      <c r="T79" s="12">
        <f t="shared" si="7"/>
        <v>27058.320833333335</v>
      </c>
    </row>
    <row r="80" spans="1:20" x14ac:dyDescent="0.35">
      <c r="A80">
        <v>78</v>
      </c>
      <c r="B80" s="4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6">
        <f t="shared" si="5"/>
        <v>300.8</v>
      </c>
      <c r="P80">
        <f t="shared" si="6"/>
        <v>41.018181818181816</v>
      </c>
      <c r="Q80" t="s">
        <v>2045</v>
      </c>
      <c r="R80" t="s">
        <v>2057</v>
      </c>
      <c r="S80" s="10">
        <f t="shared" si="8"/>
        <v>27332.720833333333</v>
      </c>
      <c r="T80" s="12">
        <f t="shared" si="7"/>
        <v>27332.820833333335</v>
      </c>
    </row>
    <row r="81" spans="1:20" x14ac:dyDescent="0.35">
      <c r="A81">
        <v>79</v>
      </c>
      <c r="B81" s="4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6">
        <f t="shared" si="5"/>
        <v>69.598615916955026</v>
      </c>
      <c r="P81">
        <f t="shared" si="6"/>
        <v>48.004773269689736</v>
      </c>
      <c r="Q81" t="s">
        <v>2037</v>
      </c>
      <c r="R81" t="s">
        <v>2038</v>
      </c>
      <c r="S81" s="10">
        <f t="shared" si="8"/>
        <v>27338.820833333335</v>
      </c>
      <c r="T81" s="12">
        <f t="shared" si="7"/>
        <v>27339.320833333335</v>
      </c>
    </row>
    <row r="82" spans="1:20" x14ac:dyDescent="0.35">
      <c r="A82">
        <v>80</v>
      </c>
      <c r="B82" s="4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6">
        <f t="shared" si="5"/>
        <v>637.4545454545455</v>
      </c>
      <c r="P82">
        <f t="shared" si="6"/>
        <v>55.212598425196852</v>
      </c>
      <c r="Q82" t="s">
        <v>2048</v>
      </c>
      <c r="R82" t="s">
        <v>2049</v>
      </c>
      <c r="S82" s="10">
        <f t="shared" si="8"/>
        <v>27309.720833333333</v>
      </c>
      <c r="T82" s="12">
        <f t="shared" si="7"/>
        <v>27312.720833333333</v>
      </c>
    </row>
    <row r="83" spans="1:20" x14ac:dyDescent="0.35">
      <c r="A83">
        <v>81</v>
      </c>
      <c r="B83" s="4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6">
        <f t="shared" si="5"/>
        <v>225.33928571428569</v>
      </c>
      <c r="P83">
        <f t="shared" si="6"/>
        <v>92.109489051094897</v>
      </c>
      <c r="Q83" t="s">
        <v>2033</v>
      </c>
      <c r="R83" t="s">
        <v>2034</v>
      </c>
      <c r="S83" s="10">
        <f t="shared" si="8"/>
        <v>27318.325000000001</v>
      </c>
      <c r="T83" s="12">
        <f t="shared" si="7"/>
        <v>27320.825000000001</v>
      </c>
    </row>
    <row r="84" spans="1:20" x14ac:dyDescent="0.35">
      <c r="A84">
        <v>82</v>
      </c>
      <c r="B84" s="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6">
        <f t="shared" si="5"/>
        <v>1497.3000000000002</v>
      </c>
      <c r="P84">
        <f t="shared" si="6"/>
        <v>83.183333333333337</v>
      </c>
      <c r="Q84" t="s">
        <v>2048</v>
      </c>
      <c r="R84" t="s">
        <v>2049</v>
      </c>
      <c r="S84" s="10">
        <f t="shared" si="8"/>
        <v>27360.325000000001</v>
      </c>
      <c r="T84" s="12">
        <f t="shared" si="7"/>
        <v>27361.025000000001</v>
      </c>
    </row>
    <row r="85" spans="1:20" x14ac:dyDescent="0.35">
      <c r="A85">
        <v>83</v>
      </c>
      <c r="B85" s="4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6">
        <f t="shared" si="5"/>
        <v>37.590225563909776</v>
      </c>
      <c r="P85">
        <f t="shared" si="6"/>
        <v>39.996000000000002</v>
      </c>
      <c r="Q85" t="s">
        <v>2033</v>
      </c>
      <c r="R85" t="s">
        <v>2041</v>
      </c>
      <c r="S85" s="10">
        <f t="shared" si="8"/>
        <v>27270.020833333332</v>
      </c>
      <c r="T85" s="12">
        <f t="shared" si="7"/>
        <v>27272.220833333333</v>
      </c>
    </row>
    <row r="86" spans="1:20" x14ac:dyDescent="0.35">
      <c r="A86">
        <v>84</v>
      </c>
      <c r="B86" s="4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6">
        <f t="shared" si="5"/>
        <v>132.36942675159236</v>
      </c>
      <c r="P86">
        <f t="shared" si="6"/>
        <v>111.1336898395722</v>
      </c>
      <c r="Q86" t="s">
        <v>2035</v>
      </c>
      <c r="R86" t="s">
        <v>2044</v>
      </c>
      <c r="S86" s="10">
        <f t="shared" si="8"/>
        <v>27123.920833333334</v>
      </c>
      <c r="T86" s="12">
        <f t="shared" si="7"/>
        <v>27124.920833333334</v>
      </c>
    </row>
    <row r="87" spans="1:20" x14ac:dyDescent="0.35">
      <c r="A87">
        <v>85</v>
      </c>
      <c r="B87" s="4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6">
        <f t="shared" si="5"/>
        <v>131.22448979591837</v>
      </c>
      <c r="P87">
        <f t="shared" si="6"/>
        <v>90.563380281690144</v>
      </c>
      <c r="Q87" t="s">
        <v>2033</v>
      </c>
      <c r="R87" t="s">
        <v>2043</v>
      </c>
      <c r="S87" s="10">
        <f t="shared" si="8"/>
        <v>27091.820833333335</v>
      </c>
      <c r="T87" s="12">
        <f t="shared" si="7"/>
        <v>27092.620833333334</v>
      </c>
    </row>
    <row r="88" spans="1:20" x14ac:dyDescent="0.35">
      <c r="A88">
        <v>86</v>
      </c>
      <c r="B88" s="4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6">
        <f t="shared" si="5"/>
        <v>167.63513513513513</v>
      </c>
      <c r="P88">
        <f t="shared" si="6"/>
        <v>61.108374384236456</v>
      </c>
      <c r="Q88" t="s">
        <v>2037</v>
      </c>
      <c r="R88" t="s">
        <v>2038</v>
      </c>
      <c r="S88" s="10">
        <f t="shared" si="8"/>
        <v>27224.920833333334</v>
      </c>
      <c r="T88" s="12">
        <f t="shared" si="7"/>
        <v>27226.220833333333</v>
      </c>
    </row>
    <row r="89" spans="1:20" ht="31" x14ac:dyDescent="0.35">
      <c r="A89">
        <v>87</v>
      </c>
      <c r="B89" s="4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6">
        <f t="shared" si="5"/>
        <v>61.984886649874063</v>
      </c>
      <c r="P89">
        <f t="shared" si="6"/>
        <v>83.022941970310384</v>
      </c>
      <c r="Q89" t="s">
        <v>2033</v>
      </c>
      <c r="R89" t="s">
        <v>2034</v>
      </c>
      <c r="S89" s="10">
        <f t="shared" si="8"/>
        <v>27073.125</v>
      </c>
      <c r="T89" s="12">
        <f t="shared" si="7"/>
        <v>27074.220833333333</v>
      </c>
    </row>
    <row r="90" spans="1:20" x14ac:dyDescent="0.35">
      <c r="A90">
        <v>88</v>
      </c>
      <c r="B90" s="4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6">
        <f t="shared" si="5"/>
        <v>260.75</v>
      </c>
      <c r="P90">
        <f t="shared" si="6"/>
        <v>110.76106194690266</v>
      </c>
      <c r="Q90" t="s">
        <v>2045</v>
      </c>
      <c r="R90" t="s">
        <v>2057</v>
      </c>
      <c r="S90" s="10">
        <f t="shared" si="8"/>
        <v>27223.120833333334</v>
      </c>
      <c r="T90" s="12">
        <f t="shared" si="7"/>
        <v>27225.320833333335</v>
      </c>
    </row>
    <row r="91" spans="1:20" x14ac:dyDescent="0.35">
      <c r="A91">
        <v>89</v>
      </c>
      <c r="B91" s="4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6">
        <f t="shared" si="5"/>
        <v>252.58823529411765</v>
      </c>
      <c r="P91">
        <f t="shared" si="6"/>
        <v>89.458333333333329</v>
      </c>
      <c r="Q91" t="s">
        <v>2037</v>
      </c>
      <c r="R91" t="s">
        <v>2038</v>
      </c>
      <c r="S91" s="10">
        <f t="shared" si="8"/>
        <v>27040.420833333334</v>
      </c>
      <c r="T91" s="12">
        <f t="shared" si="7"/>
        <v>27040.620833333334</v>
      </c>
    </row>
    <row r="92" spans="1:20" x14ac:dyDescent="0.35">
      <c r="A92">
        <v>90</v>
      </c>
      <c r="B92" s="4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6">
        <f t="shared" si="5"/>
        <v>78.615384615384613</v>
      </c>
      <c r="P92">
        <f t="shared" si="6"/>
        <v>57.849056603773583</v>
      </c>
      <c r="Q92" t="s">
        <v>2037</v>
      </c>
      <c r="R92" t="s">
        <v>2038</v>
      </c>
      <c r="S92" s="10">
        <f t="shared" si="8"/>
        <v>27254.625</v>
      </c>
      <c r="T92" s="12">
        <f t="shared" si="7"/>
        <v>27254.625</v>
      </c>
    </row>
    <row r="93" spans="1:20" x14ac:dyDescent="0.35">
      <c r="A93">
        <v>91</v>
      </c>
      <c r="B93" s="4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6">
        <f t="shared" si="5"/>
        <v>48.404406999351913</v>
      </c>
      <c r="P93">
        <f t="shared" si="6"/>
        <v>109.99705449189985</v>
      </c>
      <c r="Q93" t="s">
        <v>2045</v>
      </c>
      <c r="R93" t="s">
        <v>2057</v>
      </c>
      <c r="S93" s="10">
        <f t="shared" si="8"/>
        <v>27270.920833333334</v>
      </c>
      <c r="T93" s="12">
        <f t="shared" si="7"/>
        <v>27273.720833333333</v>
      </c>
    </row>
    <row r="94" spans="1:20" ht="31" x14ac:dyDescent="0.35">
      <c r="A94">
        <v>92</v>
      </c>
      <c r="B94" s="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6">
        <f t="shared" si="5"/>
        <v>258.875</v>
      </c>
      <c r="P94">
        <f t="shared" si="6"/>
        <v>103.96586345381526</v>
      </c>
      <c r="Q94" t="s">
        <v>2048</v>
      </c>
      <c r="R94" t="s">
        <v>2049</v>
      </c>
      <c r="S94" s="10">
        <f t="shared" si="8"/>
        <v>27047.320833333335</v>
      </c>
      <c r="T94" s="12">
        <f t="shared" si="7"/>
        <v>27047.420833333334</v>
      </c>
    </row>
    <row r="95" spans="1:20" x14ac:dyDescent="0.35">
      <c r="A95">
        <v>93</v>
      </c>
      <c r="B95" s="4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6">
        <f t="shared" si="5"/>
        <v>60.548713235294116</v>
      </c>
      <c r="P95">
        <f t="shared" si="6"/>
        <v>107.99508196721311</v>
      </c>
      <c r="Q95" t="s">
        <v>2037</v>
      </c>
      <c r="R95" t="s">
        <v>2038</v>
      </c>
      <c r="S95" s="10">
        <f t="shared" si="8"/>
        <v>27132.320833333335</v>
      </c>
      <c r="T95" s="12">
        <f t="shared" si="7"/>
        <v>27132.720833333333</v>
      </c>
    </row>
    <row r="96" spans="1:20" x14ac:dyDescent="0.35">
      <c r="A96">
        <v>94</v>
      </c>
      <c r="B96" s="4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6">
        <f t="shared" si="5"/>
        <v>303.68965517241378</v>
      </c>
      <c r="P96">
        <f t="shared" si="6"/>
        <v>48.927777777777777</v>
      </c>
      <c r="Q96" t="s">
        <v>2035</v>
      </c>
      <c r="R96" t="s">
        <v>2036</v>
      </c>
      <c r="S96" s="10">
        <f t="shared" si="8"/>
        <v>27368.320833333335</v>
      </c>
      <c r="T96" s="12">
        <f t="shared" si="7"/>
        <v>27369.420833333334</v>
      </c>
    </row>
    <row r="97" spans="1:20" ht="31" x14ac:dyDescent="0.35">
      <c r="A97">
        <v>95</v>
      </c>
      <c r="B97" s="4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6">
        <f t="shared" si="5"/>
        <v>112.99999999999999</v>
      </c>
      <c r="P97">
        <f t="shared" si="6"/>
        <v>37.666666666666664</v>
      </c>
      <c r="Q97" t="s">
        <v>2039</v>
      </c>
      <c r="R97" t="s">
        <v>2040</v>
      </c>
      <c r="S97" s="10">
        <f t="shared" si="8"/>
        <v>27387.320833333335</v>
      </c>
      <c r="T97" s="12">
        <f t="shared" si="7"/>
        <v>27388.020833333332</v>
      </c>
    </row>
    <row r="98" spans="1:20" x14ac:dyDescent="0.35">
      <c r="A98">
        <v>96</v>
      </c>
      <c r="B98" s="4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6">
        <f t="shared" si="5"/>
        <v>217.37876614060258</v>
      </c>
      <c r="P98">
        <f t="shared" si="6"/>
        <v>64.999141999141997</v>
      </c>
      <c r="Q98" t="s">
        <v>2037</v>
      </c>
      <c r="R98" t="s">
        <v>2038</v>
      </c>
      <c r="S98" s="10">
        <f t="shared" si="8"/>
        <v>27073.325000000001</v>
      </c>
      <c r="T98" s="12">
        <f t="shared" si="7"/>
        <v>27074.620833333334</v>
      </c>
    </row>
    <row r="99" spans="1:20" x14ac:dyDescent="0.35">
      <c r="A99">
        <v>97</v>
      </c>
      <c r="B99" s="4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6">
        <f t="shared" si="5"/>
        <v>926.69230769230762</v>
      </c>
      <c r="P99">
        <f t="shared" si="6"/>
        <v>106.61061946902655</v>
      </c>
      <c r="Q99" t="s">
        <v>2031</v>
      </c>
      <c r="R99" t="s">
        <v>2032</v>
      </c>
      <c r="S99" s="10">
        <f t="shared" si="8"/>
        <v>27230.120833333334</v>
      </c>
      <c r="T99" s="12">
        <f t="shared" si="7"/>
        <v>27235.520833333332</v>
      </c>
    </row>
    <row r="100" spans="1:20" x14ac:dyDescent="0.35">
      <c r="A100">
        <v>98</v>
      </c>
      <c r="B100" s="4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6">
        <f t="shared" si="5"/>
        <v>33.692229038854805</v>
      </c>
      <c r="P100">
        <f t="shared" si="6"/>
        <v>27.009016393442622</v>
      </c>
      <c r="Q100" t="s">
        <v>2048</v>
      </c>
      <c r="R100" t="s">
        <v>2049</v>
      </c>
      <c r="S100" s="10">
        <f t="shared" si="8"/>
        <v>27233.320833333335</v>
      </c>
      <c r="T100" s="12">
        <f t="shared" si="7"/>
        <v>27233.720833333333</v>
      </c>
    </row>
    <row r="101" spans="1:20" ht="31" x14ac:dyDescent="0.35">
      <c r="A101">
        <v>99</v>
      </c>
      <c r="B101" s="4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6">
        <f t="shared" si="5"/>
        <v>196.7236842105263</v>
      </c>
      <c r="P101">
        <f t="shared" si="6"/>
        <v>91.16463414634147</v>
      </c>
      <c r="Q101" t="s">
        <v>2037</v>
      </c>
      <c r="R101" t="s">
        <v>2038</v>
      </c>
      <c r="S101" s="10">
        <f t="shared" si="8"/>
        <v>27208.924999999999</v>
      </c>
      <c r="T101" s="12">
        <f t="shared" si="7"/>
        <v>27211.825000000001</v>
      </c>
    </row>
    <row r="102" spans="1:20" x14ac:dyDescent="0.35">
      <c r="A102">
        <v>100</v>
      </c>
      <c r="B102" s="4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6">
        <f t="shared" si="5"/>
        <v>1</v>
      </c>
      <c r="P102">
        <f t="shared" si="6"/>
        <v>1</v>
      </c>
      <c r="Q102" t="s">
        <v>2037</v>
      </c>
      <c r="R102" t="s">
        <v>2038</v>
      </c>
      <c r="S102" s="10">
        <f t="shared" si="8"/>
        <v>27095.620833333334</v>
      </c>
      <c r="T102" s="12">
        <f t="shared" si="7"/>
        <v>27097.420833333334</v>
      </c>
    </row>
    <row r="103" spans="1:20" x14ac:dyDescent="0.35">
      <c r="A103">
        <v>101</v>
      </c>
      <c r="B103" s="4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6">
        <f t="shared" si="5"/>
        <v>1021.4444444444445</v>
      </c>
      <c r="P103">
        <f t="shared" si="6"/>
        <v>56.054878048780488</v>
      </c>
      <c r="Q103" t="s">
        <v>2033</v>
      </c>
      <c r="R103" t="s">
        <v>2041</v>
      </c>
      <c r="S103" s="10">
        <f t="shared" si="8"/>
        <v>27217.724999999999</v>
      </c>
      <c r="T103" s="12">
        <f t="shared" si="7"/>
        <v>27218.424999999999</v>
      </c>
    </row>
    <row r="104" spans="1:20" x14ac:dyDescent="0.35">
      <c r="A104">
        <v>102</v>
      </c>
      <c r="B104" s="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6">
        <f t="shared" si="5"/>
        <v>281.67567567567568</v>
      </c>
      <c r="P104">
        <f t="shared" si="6"/>
        <v>31.017857142857142</v>
      </c>
      <c r="Q104" t="s">
        <v>2035</v>
      </c>
      <c r="R104" t="s">
        <v>2044</v>
      </c>
      <c r="S104" s="10">
        <f t="shared" si="8"/>
        <v>27335.520833333332</v>
      </c>
      <c r="T104" s="12">
        <f t="shared" si="7"/>
        <v>27336.220833333333</v>
      </c>
    </row>
    <row r="105" spans="1:20" x14ac:dyDescent="0.35">
      <c r="A105">
        <v>103</v>
      </c>
      <c r="B105" s="4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6">
        <f t="shared" si="5"/>
        <v>24.610000000000003</v>
      </c>
      <c r="P105">
        <f t="shared" si="6"/>
        <v>66.513513513513516</v>
      </c>
      <c r="Q105" t="s">
        <v>2033</v>
      </c>
      <c r="R105" t="s">
        <v>2041</v>
      </c>
      <c r="S105" s="10">
        <f t="shared" si="8"/>
        <v>27059.620833333334</v>
      </c>
      <c r="T105" s="12">
        <f t="shared" si="7"/>
        <v>27060.520833333332</v>
      </c>
    </row>
    <row r="106" spans="1:20" x14ac:dyDescent="0.35">
      <c r="A106">
        <v>104</v>
      </c>
      <c r="B106" s="4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6">
        <f t="shared" si="5"/>
        <v>143.14010067114094</v>
      </c>
      <c r="P106">
        <f t="shared" si="6"/>
        <v>89.005216484089729</v>
      </c>
      <c r="Q106" t="s">
        <v>2033</v>
      </c>
      <c r="R106" t="s">
        <v>2043</v>
      </c>
      <c r="S106" s="10">
        <f t="shared" si="8"/>
        <v>27299.920833333334</v>
      </c>
      <c r="T106" s="12">
        <f t="shared" si="7"/>
        <v>27300.020833333332</v>
      </c>
    </row>
    <row r="107" spans="1:20" x14ac:dyDescent="0.35">
      <c r="A107">
        <v>105</v>
      </c>
      <c r="B107" s="4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6">
        <f t="shared" si="5"/>
        <v>144.54411764705884</v>
      </c>
      <c r="P107">
        <f t="shared" si="6"/>
        <v>103.46315789473684</v>
      </c>
      <c r="Q107" t="s">
        <v>2035</v>
      </c>
      <c r="R107" t="s">
        <v>2036</v>
      </c>
      <c r="S107" s="10">
        <f t="shared" si="8"/>
        <v>27148.720833333333</v>
      </c>
      <c r="T107" s="12">
        <f t="shared" si="7"/>
        <v>27150.520833333332</v>
      </c>
    </row>
    <row r="108" spans="1:20" x14ac:dyDescent="0.35">
      <c r="A108">
        <v>106</v>
      </c>
      <c r="B108" s="4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6">
        <f t="shared" si="5"/>
        <v>359.12820512820514</v>
      </c>
      <c r="P108">
        <f t="shared" si="6"/>
        <v>95.278911564625844</v>
      </c>
      <c r="Q108" t="s">
        <v>2037</v>
      </c>
      <c r="R108" t="s">
        <v>2038</v>
      </c>
      <c r="S108" s="10">
        <f t="shared" si="8"/>
        <v>27383.720833333333</v>
      </c>
      <c r="T108" s="12">
        <f t="shared" si="7"/>
        <v>27384.220833333333</v>
      </c>
    </row>
    <row r="109" spans="1:20" ht="31" x14ac:dyDescent="0.35">
      <c r="A109">
        <v>107</v>
      </c>
      <c r="B109" s="4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6">
        <f t="shared" si="5"/>
        <v>186.48571428571427</v>
      </c>
      <c r="P109">
        <f t="shared" si="6"/>
        <v>75.895348837209298</v>
      </c>
      <c r="Q109" t="s">
        <v>2037</v>
      </c>
      <c r="R109" t="s">
        <v>2038</v>
      </c>
      <c r="S109" s="10">
        <f t="shared" si="8"/>
        <v>27333.420833333334</v>
      </c>
      <c r="T109" s="12">
        <f t="shared" si="7"/>
        <v>27335.120833333334</v>
      </c>
    </row>
    <row r="110" spans="1:20" ht="31" x14ac:dyDescent="0.35">
      <c r="A110">
        <v>108</v>
      </c>
      <c r="B110" s="4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6">
        <f t="shared" si="5"/>
        <v>595.26666666666665</v>
      </c>
      <c r="P110">
        <f t="shared" si="6"/>
        <v>107.57831325301204</v>
      </c>
      <c r="Q110" t="s">
        <v>2039</v>
      </c>
      <c r="R110" t="s">
        <v>2040</v>
      </c>
      <c r="S110" s="10">
        <f t="shared" si="8"/>
        <v>27112.620833333334</v>
      </c>
      <c r="T110" s="12">
        <f t="shared" si="7"/>
        <v>27116.320833333335</v>
      </c>
    </row>
    <row r="111" spans="1:20" x14ac:dyDescent="0.35">
      <c r="A111">
        <v>109</v>
      </c>
      <c r="B111" s="4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6">
        <f t="shared" si="5"/>
        <v>59.21153846153846</v>
      </c>
      <c r="P111">
        <f t="shared" si="6"/>
        <v>51.31666666666667</v>
      </c>
      <c r="Q111" t="s">
        <v>2039</v>
      </c>
      <c r="R111" t="s">
        <v>2058</v>
      </c>
      <c r="S111" s="10">
        <f t="shared" si="8"/>
        <v>27177.224999999999</v>
      </c>
      <c r="T111" s="12">
        <f t="shared" si="7"/>
        <v>27177.424999999999</v>
      </c>
    </row>
    <row r="112" spans="1:20" ht="31" x14ac:dyDescent="0.35">
      <c r="A112">
        <v>110</v>
      </c>
      <c r="B112" s="4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6">
        <f t="shared" si="5"/>
        <v>14.962780898876405</v>
      </c>
      <c r="P112">
        <f t="shared" si="6"/>
        <v>71.983108108108112</v>
      </c>
      <c r="Q112" t="s">
        <v>2031</v>
      </c>
      <c r="R112" t="s">
        <v>2032</v>
      </c>
      <c r="S112" s="10">
        <f t="shared" si="8"/>
        <v>27347.520833333332</v>
      </c>
      <c r="T112" s="12">
        <f t="shared" si="7"/>
        <v>27349.420833333334</v>
      </c>
    </row>
    <row r="113" spans="1:20" x14ac:dyDescent="0.35">
      <c r="A113">
        <v>111</v>
      </c>
      <c r="B113" s="4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6">
        <f t="shared" si="5"/>
        <v>119.95602605863192</v>
      </c>
      <c r="P113">
        <f t="shared" si="6"/>
        <v>108.95414201183432</v>
      </c>
      <c r="Q113" t="s">
        <v>2045</v>
      </c>
      <c r="R113" t="s">
        <v>2054</v>
      </c>
      <c r="S113" s="10">
        <f t="shared" si="8"/>
        <v>27129.520833333332</v>
      </c>
      <c r="T113" s="12">
        <f t="shared" si="7"/>
        <v>27130.120833333334</v>
      </c>
    </row>
    <row r="114" spans="1:20" x14ac:dyDescent="0.35">
      <c r="A114">
        <v>112</v>
      </c>
      <c r="B114" s="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6">
        <f t="shared" si="5"/>
        <v>268.82978723404256</v>
      </c>
      <c r="P114">
        <f t="shared" si="6"/>
        <v>35</v>
      </c>
      <c r="Q114" t="s">
        <v>2035</v>
      </c>
      <c r="R114" t="s">
        <v>2036</v>
      </c>
      <c r="S114" s="10">
        <f t="shared" si="8"/>
        <v>27199.620833333334</v>
      </c>
      <c r="T114" s="12">
        <f t="shared" si="7"/>
        <v>27201.120833333334</v>
      </c>
    </row>
    <row r="115" spans="1:20" x14ac:dyDescent="0.35">
      <c r="A115">
        <v>113</v>
      </c>
      <c r="B115" s="4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6">
        <f t="shared" si="5"/>
        <v>376.87878787878788</v>
      </c>
      <c r="P115">
        <f t="shared" si="6"/>
        <v>94.938931297709928</v>
      </c>
      <c r="Q115" t="s">
        <v>2031</v>
      </c>
      <c r="R115" t="s">
        <v>2032</v>
      </c>
      <c r="S115" s="10">
        <f t="shared" si="8"/>
        <v>27311.120833333334</v>
      </c>
      <c r="T115" s="12">
        <f t="shared" si="7"/>
        <v>27311.820833333335</v>
      </c>
    </row>
    <row r="116" spans="1:20" x14ac:dyDescent="0.35">
      <c r="A116">
        <v>114</v>
      </c>
      <c r="B116" s="4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6">
        <f t="shared" si="5"/>
        <v>727.15789473684208</v>
      </c>
      <c r="P116">
        <f t="shared" si="6"/>
        <v>109.65079365079364</v>
      </c>
      <c r="Q116" t="s">
        <v>2035</v>
      </c>
      <c r="R116" t="s">
        <v>2044</v>
      </c>
      <c r="S116" s="10">
        <f t="shared" si="8"/>
        <v>27368.520833333332</v>
      </c>
      <c r="T116" s="12">
        <f t="shared" si="7"/>
        <v>27368.620833333334</v>
      </c>
    </row>
    <row r="117" spans="1:20" x14ac:dyDescent="0.35">
      <c r="A117">
        <v>115</v>
      </c>
      <c r="B117" s="4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6">
        <f t="shared" si="5"/>
        <v>87.211757648470297</v>
      </c>
      <c r="P117">
        <f t="shared" si="6"/>
        <v>44.001815980629537</v>
      </c>
      <c r="Q117" t="s">
        <v>2045</v>
      </c>
      <c r="R117" t="s">
        <v>2051</v>
      </c>
      <c r="S117" s="10">
        <f t="shared" si="8"/>
        <v>27317.724999999999</v>
      </c>
      <c r="T117" s="12">
        <f t="shared" si="7"/>
        <v>27321.224999999999</v>
      </c>
    </row>
    <row r="118" spans="1:20" ht="31" x14ac:dyDescent="0.35">
      <c r="A118">
        <v>116</v>
      </c>
      <c r="B118" s="4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6">
        <f t="shared" si="5"/>
        <v>88</v>
      </c>
      <c r="P118">
        <f t="shared" si="6"/>
        <v>86.794520547945211</v>
      </c>
      <c r="Q118" t="s">
        <v>2037</v>
      </c>
      <c r="R118" t="s">
        <v>2038</v>
      </c>
      <c r="S118" s="10">
        <f t="shared" si="8"/>
        <v>27238.620833333334</v>
      </c>
      <c r="T118" s="12">
        <f t="shared" si="7"/>
        <v>27238.720833333333</v>
      </c>
    </row>
    <row r="119" spans="1:20" x14ac:dyDescent="0.35">
      <c r="A119">
        <v>117</v>
      </c>
      <c r="B119" s="4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6">
        <f t="shared" si="5"/>
        <v>173.9387755102041</v>
      </c>
      <c r="P119">
        <f t="shared" si="6"/>
        <v>30.992727272727272</v>
      </c>
      <c r="Q119" t="s">
        <v>2039</v>
      </c>
      <c r="R119" t="s">
        <v>2058</v>
      </c>
      <c r="S119" s="10">
        <f t="shared" si="8"/>
        <v>27092.920833333334</v>
      </c>
      <c r="T119" s="12">
        <f t="shared" si="7"/>
        <v>27093.520833333332</v>
      </c>
    </row>
    <row r="120" spans="1:20" x14ac:dyDescent="0.35">
      <c r="A120">
        <v>118</v>
      </c>
      <c r="B120" s="4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6">
        <f t="shared" si="5"/>
        <v>117.61111111111111</v>
      </c>
      <c r="P120">
        <f t="shared" si="6"/>
        <v>94.791044776119406</v>
      </c>
      <c r="Q120" t="s">
        <v>2052</v>
      </c>
      <c r="R120" t="s">
        <v>2053</v>
      </c>
      <c r="S120" s="10">
        <f t="shared" si="8"/>
        <v>27178.625</v>
      </c>
      <c r="T120" s="12">
        <f t="shared" si="7"/>
        <v>27179.224999999999</v>
      </c>
    </row>
    <row r="121" spans="1:20" ht="31" x14ac:dyDescent="0.35">
      <c r="A121">
        <v>119</v>
      </c>
      <c r="B121" s="4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6">
        <f t="shared" si="5"/>
        <v>214.96</v>
      </c>
      <c r="P121">
        <f t="shared" si="6"/>
        <v>69.79220779220779</v>
      </c>
      <c r="Q121" t="s">
        <v>2039</v>
      </c>
      <c r="R121" t="s">
        <v>2040</v>
      </c>
      <c r="S121" s="10">
        <f t="shared" si="8"/>
        <v>27192.720833333333</v>
      </c>
      <c r="T121" s="12">
        <f t="shared" si="7"/>
        <v>27194.420833333334</v>
      </c>
    </row>
    <row r="122" spans="1:20" x14ac:dyDescent="0.35">
      <c r="A122">
        <v>120</v>
      </c>
      <c r="B122" s="4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6">
        <f t="shared" si="5"/>
        <v>149.49667110519306</v>
      </c>
      <c r="P122">
        <f t="shared" si="6"/>
        <v>63.003367003367003</v>
      </c>
      <c r="Q122" t="s">
        <v>2048</v>
      </c>
      <c r="R122" t="s">
        <v>2059</v>
      </c>
      <c r="S122" s="10">
        <f t="shared" si="8"/>
        <v>27223.220833333333</v>
      </c>
      <c r="T122" s="12">
        <f t="shared" si="7"/>
        <v>27223.620833333334</v>
      </c>
    </row>
    <row r="123" spans="1:20" x14ac:dyDescent="0.35">
      <c r="A123">
        <v>121</v>
      </c>
      <c r="B123" s="4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6">
        <f t="shared" si="5"/>
        <v>219.33995584988963</v>
      </c>
      <c r="P123">
        <f t="shared" si="6"/>
        <v>110.0343300110742</v>
      </c>
      <c r="Q123" t="s">
        <v>2048</v>
      </c>
      <c r="R123" t="s">
        <v>2049</v>
      </c>
      <c r="S123" s="10">
        <f t="shared" si="8"/>
        <v>27203.820833333335</v>
      </c>
      <c r="T123" s="12">
        <f t="shared" si="7"/>
        <v>27205.120833333334</v>
      </c>
    </row>
    <row r="124" spans="1:20" x14ac:dyDescent="0.35">
      <c r="A124">
        <v>122</v>
      </c>
      <c r="B124" s="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6">
        <f t="shared" si="5"/>
        <v>64.367690058479525</v>
      </c>
      <c r="P124">
        <f t="shared" si="6"/>
        <v>25.997933274284026</v>
      </c>
      <c r="Q124" t="s">
        <v>2045</v>
      </c>
      <c r="R124" t="s">
        <v>2051</v>
      </c>
      <c r="S124" s="10">
        <f t="shared" si="8"/>
        <v>27209.125</v>
      </c>
      <c r="T124" s="12">
        <f t="shared" si="7"/>
        <v>27211.825000000001</v>
      </c>
    </row>
    <row r="125" spans="1:20" x14ac:dyDescent="0.35">
      <c r="A125">
        <v>123</v>
      </c>
      <c r="B125" s="4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6">
        <f t="shared" si="5"/>
        <v>18.622397298818232</v>
      </c>
      <c r="P125">
        <f t="shared" si="6"/>
        <v>49.987915407854985</v>
      </c>
      <c r="Q125" t="s">
        <v>2037</v>
      </c>
      <c r="R125" t="s">
        <v>2038</v>
      </c>
      <c r="S125" s="10">
        <f t="shared" si="8"/>
        <v>27245.325000000001</v>
      </c>
      <c r="T125" s="12">
        <f t="shared" si="7"/>
        <v>27245.625</v>
      </c>
    </row>
    <row r="126" spans="1:20" x14ac:dyDescent="0.35">
      <c r="A126">
        <v>124</v>
      </c>
      <c r="B126" s="4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6">
        <f t="shared" si="5"/>
        <v>367.76923076923077</v>
      </c>
      <c r="P126">
        <f t="shared" si="6"/>
        <v>101.72340425531915</v>
      </c>
      <c r="Q126" t="s">
        <v>2052</v>
      </c>
      <c r="R126" t="s">
        <v>2053</v>
      </c>
      <c r="S126" s="10">
        <f t="shared" si="8"/>
        <v>27371.920833333334</v>
      </c>
      <c r="T126" s="12">
        <f t="shared" si="7"/>
        <v>27377.220833333333</v>
      </c>
    </row>
    <row r="127" spans="1:20" x14ac:dyDescent="0.35">
      <c r="A127">
        <v>125</v>
      </c>
      <c r="B127" s="4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6">
        <f t="shared" si="5"/>
        <v>159.90566037735849</v>
      </c>
      <c r="P127">
        <f t="shared" si="6"/>
        <v>47.083333333333336</v>
      </c>
      <c r="Q127" t="s">
        <v>2037</v>
      </c>
      <c r="R127" t="s">
        <v>2038</v>
      </c>
      <c r="S127" s="10">
        <f t="shared" si="8"/>
        <v>27348.320833333335</v>
      </c>
      <c r="T127" s="12">
        <f t="shared" si="7"/>
        <v>27348.720833333333</v>
      </c>
    </row>
    <row r="128" spans="1:20" x14ac:dyDescent="0.35">
      <c r="A128">
        <v>126</v>
      </c>
      <c r="B128" s="4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6">
        <f t="shared" si="5"/>
        <v>38.633185349611544</v>
      </c>
      <c r="P128">
        <f t="shared" si="6"/>
        <v>89.944444444444443</v>
      </c>
      <c r="Q128" t="s">
        <v>2037</v>
      </c>
      <c r="R128" t="s">
        <v>2038</v>
      </c>
      <c r="S128" s="10">
        <f t="shared" si="8"/>
        <v>27271.720833333333</v>
      </c>
      <c r="T128" s="12">
        <f t="shared" si="7"/>
        <v>27274.520833333332</v>
      </c>
    </row>
    <row r="129" spans="1:20" x14ac:dyDescent="0.35">
      <c r="A129">
        <v>127</v>
      </c>
      <c r="B129" s="4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6">
        <f t="shared" si="5"/>
        <v>51.42151162790698</v>
      </c>
      <c r="P129">
        <f t="shared" si="6"/>
        <v>78.96875</v>
      </c>
      <c r="Q129" t="s">
        <v>2037</v>
      </c>
      <c r="R129" t="s">
        <v>2038</v>
      </c>
      <c r="S129" s="10">
        <f t="shared" si="8"/>
        <v>27043.120833333334</v>
      </c>
      <c r="T129" s="12">
        <f t="shared" si="7"/>
        <v>27043.420833333334</v>
      </c>
    </row>
    <row r="130" spans="1:20" x14ac:dyDescent="0.35">
      <c r="A130">
        <v>128</v>
      </c>
      <c r="B130" s="4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6">
        <f t="shared" si="5"/>
        <v>60.334277620396605</v>
      </c>
      <c r="P130">
        <f t="shared" si="6"/>
        <v>80.067669172932327</v>
      </c>
      <c r="Q130" t="s">
        <v>2033</v>
      </c>
      <c r="R130" t="s">
        <v>2034</v>
      </c>
      <c r="S130" s="10">
        <f t="shared" si="8"/>
        <v>27053.820833333335</v>
      </c>
      <c r="T130" s="12">
        <f t="shared" si="7"/>
        <v>27055.120833333334</v>
      </c>
    </row>
    <row r="131" spans="1:20" x14ac:dyDescent="0.35">
      <c r="A131">
        <v>129</v>
      </c>
      <c r="B131" s="4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6">
        <f t="shared" ref="O131:O194" si="9">MAX(0,(E131/D131)*100)</f>
        <v>3.202693602693603</v>
      </c>
      <c r="P131">
        <f t="shared" ref="P131:P194" si="10">IFERROR(AVERAGE(E131/G131),0)</f>
        <v>86.472727272727269</v>
      </c>
      <c r="Q131" t="s">
        <v>2031</v>
      </c>
      <c r="R131" t="s">
        <v>2032</v>
      </c>
      <c r="S131" s="10">
        <f t="shared" si="8"/>
        <v>27215.924999999999</v>
      </c>
      <c r="T131" s="12">
        <f t="shared" ref="T131:T194" si="11">K131/864000+DATE(1970,1,1)</f>
        <v>27218.424999999999</v>
      </c>
    </row>
    <row r="132" spans="1:20" x14ac:dyDescent="0.35">
      <c r="A132">
        <v>130</v>
      </c>
      <c r="B132" s="4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6">
        <f t="shared" si="9"/>
        <v>155.46875</v>
      </c>
      <c r="P132">
        <f t="shared" si="10"/>
        <v>28.001876172607879</v>
      </c>
      <c r="Q132" t="s">
        <v>2039</v>
      </c>
      <c r="R132" t="s">
        <v>2042</v>
      </c>
      <c r="S132" s="10">
        <f t="shared" si="8"/>
        <v>27096.320833333335</v>
      </c>
      <c r="T132" s="12">
        <f t="shared" si="11"/>
        <v>27097.924999999999</v>
      </c>
    </row>
    <row r="133" spans="1:20" ht="31" x14ac:dyDescent="0.35">
      <c r="A133">
        <v>131</v>
      </c>
      <c r="B133" s="4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6">
        <f t="shared" si="9"/>
        <v>100.85974499089254</v>
      </c>
      <c r="P133">
        <f t="shared" si="10"/>
        <v>67.996725337699544</v>
      </c>
      <c r="Q133" t="s">
        <v>2035</v>
      </c>
      <c r="R133" t="s">
        <v>2036</v>
      </c>
      <c r="S133" s="10">
        <f t="shared" si="8"/>
        <v>27172.825000000001</v>
      </c>
      <c r="T133" s="12">
        <f t="shared" si="11"/>
        <v>27174.125</v>
      </c>
    </row>
    <row r="134" spans="1:20" x14ac:dyDescent="0.35">
      <c r="A134">
        <v>132</v>
      </c>
      <c r="B134" s="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6">
        <f t="shared" si="9"/>
        <v>116.18181818181819</v>
      </c>
      <c r="P134">
        <f t="shared" si="10"/>
        <v>43.078651685393261</v>
      </c>
      <c r="Q134" t="s">
        <v>2037</v>
      </c>
      <c r="R134" t="s">
        <v>2038</v>
      </c>
      <c r="S134" s="10">
        <f t="shared" si="8"/>
        <v>27323.325000000001</v>
      </c>
      <c r="T134" s="12">
        <f t="shared" si="11"/>
        <v>27324.924999999999</v>
      </c>
    </row>
    <row r="135" spans="1:20" x14ac:dyDescent="0.35">
      <c r="A135">
        <v>133</v>
      </c>
      <c r="B135" s="4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6">
        <f t="shared" si="9"/>
        <v>310.77777777777777</v>
      </c>
      <c r="P135">
        <f t="shared" si="10"/>
        <v>87.95597484276729</v>
      </c>
      <c r="Q135" t="s">
        <v>2033</v>
      </c>
      <c r="R135" t="s">
        <v>2060</v>
      </c>
      <c r="S135" s="10">
        <f t="shared" si="8"/>
        <v>27088.820833333335</v>
      </c>
      <c r="T135" s="12">
        <f t="shared" si="11"/>
        <v>27091.020833333332</v>
      </c>
    </row>
    <row r="136" spans="1:20" x14ac:dyDescent="0.35">
      <c r="A136">
        <v>134</v>
      </c>
      <c r="B136" s="4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6">
        <f t="shared" si="9"/>
        <v>89.73668341708543</v>
      </c>
      <c r="P136">
        <f t="shared" si="10"/>
        <v>94.987234042553197</v>
      </c>
      <c r="Q136" t="s">
        <v>2039</v>
      </c>
      <c r="R136" t="s">
        <v>2040</v>
      </c>
      <c r="S136" s="10">
        <f t="shared" si="8"/>
        <v>27083.420833333334</v>
      </c>
      <c r="T136" s="12">
        <f t="shared" si="11"/>
        <v>27088.320833333335</v>
      </c>
    </row>
    <row r="137" spans="1:20" x14ac:dyDescent="0.35">
      <c r="A137">
        <v>135</v>
      </c>
      <c r="B137" s="4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6">
        <f t="shared" si="9"/>
        <v>71.27272727272728</v>
      </c>
      <c r="P137">
        <f t="shared" si="10"/>
        <v>46.905982905982903</v>
      </c>
      <c r="Q137" t="s">
        <v>2037</v>
      </c>
      <c r="R137" t="s">
        <v>2038</v>
      </c>
      <c r="S137" s="10">
        <f t="shared" si="8"/>
        <v>27146.125</v>
      </c>
      <c r="T137" s="12">
        <f t="shared" si="11"/>
        <v>27146.620833333334</v>
      </c>
    </row>
    <row r="138" spans="1:20" x14ac:dyDescent="0.35">
      <c r="A138">
        <v>136</v>
      </c>
      <c r="B138" s="4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6">
        <f t="shared" si="9"/>
        <v>3.2862318840579712</v>
      </c>
      <c r="P138">
        <f t="shared" si="10"/>
        <v>46.913793103448278</v>
      </c>
      <c r="Q138" t="s">
        <v>2039</v>
      </c>
      <c r="R138" t="s">
        <v>2042</v>
      </c>
      <c r="S138" s="10">
        <f t="shared" si="8"/>
        <v>27191.820833333335</v>
      </c>
      <c r="T138" s="12">
        <f t="shared" si="11"/>
        <v>27193.020833333332</v>
      </c>
    </row>
    <row r="139" spans="1:20" x14ac:dyDescent="0.35">
      <c r="A139">
        <v>137</v>
      </c>
      <c r="B139" s="4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6">
        <f t="shared" si="9"/>
        <v>261.77777777777777</v>
      </c>
      <c r="P139">
        <f t="shared" si="10"/>
        <v>94.24</v>
      </c>
      <c r="Q139" t="s">
        <v>2045</v>
      </c>
      <c r="R139" t="s">
        <v>2046</v>
      </c>
      <c r="S139" s="10">
        <f t="shared" si="8"/>
        <v>27057.820833333335</v>
      </c>
      <c r="T139" s="12">
        <f t="shared" si="11"/>
        <v>27058.420833333334</v>
      </c>
    </row>
    <row r="140" spans="1:20" ht="31" x14ac:dyDescent="0.35">
      <c r="A140">
        <v>138</v>
      </c>
      <c r="B140" s="4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6">
        <f t="shared" si="9"/>
        <v>96</v>
      </c>
      <c r="P140">
        <f t="shared" si="10"/>
        <v>80.139130434782615</v>
      </c>
      <c r="Q140" t="s">
        <v>2048</v>
      </c>
      <c r="R140" t="s">
        <v>2059</v>
      </c>
      <c r="S140" s="10">
        <f t="shared" si="8"/>
        <v>27130.120833333334</v>
      </c>
      <c r="T140" s="12">
        <f t="shared" si="11"/>
        <v>27130.720833333333</v>
      </c>
    </row>
    <row r="141" spans="1:20" x14ac:dyDescent="0.35">
      <c r="A141">
        <v>139</v>
      </c>
      <c r="B141" s="4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6">
        <f t="shared" si="9"/>
        <v>20.896851248642779</v>
      </c>
      <c r="P141">
        <f t="shared" si="10"/>
        <v>59.036809815950917</v>
      </c>
      <c r="Q141" t="s">
        <v>2035</v>
      </c>
      <c r="R141" t="s">
        <v>2044</v>
      </c>
      <c r="S141" s="10">
        <f t="shared" ref="S141:S204" si="12">J:J/864000+DATE(1970,1,1)</f>
        <v>27223.620833333334</v>
      </c>
      <c r="T141" s="12">
        <f t="shared" si="11"/>
        <v>27225.220833333333</v>
      </c>
    </row>
    <row r="142" spans="1:20" ht="31" x14ac:dyDescent="0.35">
      <c r="A142">
        <v>140</v>
      </c>
      <c r="B142" s="4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6">
        <f t="shared" si="9"/>
        <v>223.16363636363636</v>
      </c>
      <c r="P142">
        <f t="shared" si="10"/>
        <v>65.989247311827953</v>
      </c>
      <c r="Q142" t="s">
        <v>2039</v>
      </c>
      <c r="R142" t="s">
        <v>2040</v>
      </c>
      <c r="S142" s="10">
        <f t="shared" si="12"/>
        <v>27327.724999999999</v>
      </c>
      <c r="T142" s="12">
        <f t="shared" si="11"/>
        <v>27328.224999999999</v>
      </c>
    </row>
    <row r="143" spans="1:20" x14ac:dyDescent="0.35">
      <c r="A143">
        <v>141</v>
      </c>
      <c r="B143" s="4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6">
        <f t="shared" si="9"/>
        <v>101.59097978227061</v>
      </c>
      <c r="P143">
        <f t="shared" si="10"/>
        <v>60.992530345471522</v>
      </c>
      <c r="Q143" t="s">
        <v>2035</v>
      </c>
      <c r="R143" t="s">
        <v>2036</v>
      </c>
      <c r="S143" s="10">
        <f t="shared" si="12"/>
        <v>27228.820833333335</v>
      </c>
      <c r="T143" s="12">
        <f t="shared" si="11"/>
        <v>27229.420833333334</v>
      </c>
    </row>
    <row r="144" spans="1:20" ht="31" x14ac:dyDescent="0.35">
      <c r="A144">
        <v>142</v>
      </c>
      <c r="B144" s="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6">
        <f t="shared" si="9"/>
        <v>230.03999999999996</v>
      </c>
      <c r="P144">
        <f t="shared" si="10"/>
        <v>98.307692307692307</v>
      </c>
      <c r="Q144" t="s">
        <v>2035</v>
      </c>
      <c r="R144" t="s">
        <v>2036</v>
      </c>
      <c r="S144" s="10">
        <f t="shared" si="12"/>
        <v>27112.620833333334</v>
      </c>
      <c r="T144" s="12">
        <f t="shared" si="11"/>
        <v>27116.720833333333</v>
      </c>
    </row>
    <row r="145" spans="1:20" x14ac:dyDescent="0.35">
      <c r="A145">
        <v>143</v>
      </c>
      <c r="B145" s="4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6">
        <f t="shared" si="9"/>
        <v>135.59259259259261</v>
      </c>
      <c r="P145">
        <f t="shared" si="10"/>
        <v>104.6</v>
      </c>
      <c r="Q145" t="s">
        <v>2033</v>
      </c>
      <c r="R145" t="s">
        <v>2043</v>
      </c>
      <c r="S145" s="10">
        <f t="shared" si="12"/>
        <v>27047.820833333335</v>
      </c>
      <c r="T145" s="12">
        <f t="shared" si="11"/>
        <v>27049.820833333335</v>
      </c>
    </row>
    <row r="146" spans="1:20" x14ac:dyDescent="0.35">
      <c r="A146">
        <v>144</v>
      </c>
      <c r="B146" s="4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6">
        <f t="shared" si="9"/>
        <v>129.1</v>
      </c>
      <c r="P146">
        <f t="shared" si="10"/>
        <v>86.066666666666663</v>
      </c>
      <c r="Q146" t="s">
        <v>2037</v>
      </c>
      <c r="R146" t="s">
        <v>2038</v>
      </c>
      <c r="S146" s="10">
        <f t="shared" si="12"/>
        <v>27375.420833333334</v>
      </c>
      <c r="T146" s="12">
        <f t="shared" si="11"/>
        <v>27376.220833333333</v>
      </c>
    </row>
    <row r="147" spans="1:20" x14ac:dyDescent="0.35">
      <c r="A147">
        <v>145</v>
      </c>
      <c r="B147" s="4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6">
        <f t="shared" si="9"/>
        <v>236.512</v>
      </c>
      <c r="P147">
        <f t="shared" si="10"/>
        <v>76.989583333333329</v>
      </c>
      <c r="Q147" t="s">
        <v>2035</v>
      </c>
      <c r="R147" t="s">
        <v>2044</v>
      </c>
      <c r="S147" s="10">
        <f t="shared" si="12"/>
        <v>27201.020833333332</v>
      </c>
      <c r="T147" s="12">
        <f t="shared" si="11"/>
        <v>27201.520833333332</v>
      </c>
    </row>
    <row r="148" spans="1:20" ht="31" x14ac:dyDescent="0.35">
      <c r="A148">
        <v>146</v>
      </c>
      <c r="B148" s="4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6">
        <f t="shared" si="9"/>
        <v>17.25</v>
      </c>
      <c r="P148">
        <f t="shared" si="10"/>
        <v>29.764705882352942</v>
      </c>
      <c r="Q148" t="s">
        <v>2037</v>
      </c>
      <c r="R148" t="s">
        <v>2038</v>
      </c>
      <c r="S148" s="10">
        <f t="shared" si="12"/>
        <v>27097.625</v>
      </c>
      <c r="T148" s="12">
        <f t="shared" si="11"/>
        <v>27099.625</v>
      </c>
    </row>
    <row r="149" spans="1:20" ht="31" x14ac:dyDescent="0.35">
      <c r="A149">
        <v>147</v>
      </c>
      <c r="B149" s="4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6">
        <f t="shared" si="9"/>
        <v>112.49397590361446</v>
      </c>
      <c r="P149">
        <f t="shared" si="10"/>
        <v>46.91959798994975</v>
      </c>
      <c r="Q149" t="s">
        <v>2037</v>
      </c>
      <c r="R149" t="s">
        <v>2038</v>
      </c>
      <c r="S149" s="10">
        <f t="shared" si="12"/>
        <v>27265.520833333332</v>
      </c>
      <c r="T149" s="12">
        <f t="shared" si="11"/>
        <v>27266.120833333334</v>
      </c>
    </row>
    <row r="150" spans="1:20" x14ac:dyDescent="0.35">
      <c r="A150">
        <v>148</v>
      </c>
      <c r="B150" s="4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6">
        <f t="shared" si="9"/>
        <v>121.02150537634408</v>
      </c>
      <c r="P150">
        <f t="shared" si="10"/>
        <v>105.18691588785046</v>
      </c>
      <c r="Q150" t="s">
        <v>2035</v>
      </c>
      <c r="R150" t="s">
        <v>2044</v>
      </c>
      <c r="S150" s="10">
        <f t="shared" si="12"/>
        <v>27306.220833333333</v>
      </c>
      <c r="T150" s="12">
        <f t="shared" si="11"/>
        <v>27307.120833333334</v>
      </c>
    </row>
    <row r="151" spans="1:20" x14ac:dyDescent="0.35">
      <c r="A151">
        <v>149</v>
      </c>
      <c r="B151" s="4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6">
        <f t="shared" si="9"/>
        <v>219.87096774193549</v>
      </c>
      <c r="P151">
        <f t="shared" si="10"/>
        <v>69.907692307692301</v>
      </c>
      <c r="Q151" t="s">
        <v>2033</v>
      </c>
      <c r="R151" t="s">
        <v>2043</v>
      </c>
      <c r="S151" s="10">
        <f t="shared" si="12"/>
        <v>27139.625</v>
      </c>
      <c r="T151" s="12">
        <f t="shared" si="11"/>
        <v>27144.825000000001</v>
      </c>
    </row>
    <row r="152" spans="1:20" x14ac:dyDescent="0.35">
      <c r="A152">
        <v>150</v>
      </c>
      <c r="B152" s="4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6">
        <f t="shared" si="9"/>
        <v>1</v>
      </c>
      <c r="P152">
        <f t="shared" si="10"/>
        <v>1</v>
      </c>
      <c r="Q152" t="s">
        <v>2033</v>
      </c>
      <c r="R152" t="s">
        <v>2034</v>
      </c>
      <c r="S152" s="10">
        <f t="shared" si="12"/>
        <v>27357.125</v>
      </c>
      <c r="T152" s="12">
        <f t="shared" si="11"/>
        <v>27357.224999999999</v>
      </c>
    </row>
    <row r="153" spans="1:20" x14ac:dyDescent="0.35">
      <c r="A153">
        <v>151</v>
      </c>
      <c r="B153" s="4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6">
        <f t="shared" si="9"/>
        <v>64.166909620991248</v>
      </c>
      <c r="P153">
        <f t="shared" si="10"/>
        <v>60.011588275391958</v>
      </c>
      <c r="Q153" t="s">
        <v>2033</v>
      </c>
      <c r="R153" t="s">
        <v>2041</v>
      </c>
      <c r="S153" s="10">
        <f t="shared" si="12"/>
        <v>27192.020833333332</v>
      </c>
      <c r="T153" s="12">
        <f t="shared" si="11"/>
        <v>27197.120833333334</v>
      </c>
    </row>
    <row r="154" spans="1:20" x14ac:dyDescent="0.35">
      <c r="A154">
        <v>152</v>
      </c>
      <c r="B154" s="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6">
        <f t="shared" si="9"/>
        <v>423.06746987951806</v>
      </c>
      <c r="P154">
        <f t="shared" si="10"/>
        <v>52.006220379146917</v>
      </c>
      <c r="Q154" t="s">
        <v>2033</v>
      </c>
      <c r="R154" t="s">
        <v>2043</v>
      </c>
      <c r="S154" s="10">
        <f t="shared" si="12"/>
        <v>27290.424999999999</v>
      </c>
      <c r="T154" s="12">
        <f t="shared" si="11"/>
        <v>27291.125</v>
      </c>
    </row>
    <row r="155" spans="1:20" x14ac:dyDescent="0.35">
      <c r="A155">
        <v>153</v>
      </c>
      <c r="B155" s="4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6">
        <f t="shared" si="9"/>
        <v>92.984160506863773</v>
      </c>
      <c r="P155">
        <f t="shared" si="10"/>
        <v>31.000176025347649</v>
      </c>
      <c r="Q155" t="s">
        <v>2037</v>
      </c>
      <c r="R155" t="s">
        <v>2038</v>
      </c>
      <c r="S155" s="10">
        <f t="shared" si="12"/>
        <v>27132.220833333333</v>
      </c>
      <c r="T155" s="12">
        <f t="shared" si="11"/>
        <v>27132.820833333335</v>
      </c>
    </row>
    <row r="156" spans="1:20" x14ac:dyDescent="0.35">
      <c r="A156">
        <v>154</v>
      </c>
      <c r="B156" s="4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6">
        <f t="shared" si="9"/>
        <v>58.756567425569173</v>
      </c>
      <c r="P156">
        <f t="shared" si="10"/>
        <v>95.042492917847028</v>
      </c>
      <c r="Q156" t="s">
        <v>2033</v>
      </c>
      <c r="R156" t="s">
        <v>2043</v>
      </c>
      <c r="S156" s="10">
        <f t="shared" si="12"/>
        <v>27262.320833333335</v>
      </c>
      <c r="T156" s="12">
        <f t="shared" si="11"/>
        <v>27264.620833333334</v>
      </c>
    </row>
    <row r="157" spans="1:20" x14ac:dyDescent="0.35">
      <c r="A157">
        <v>155</v>
      </c>
      <c r="B157" s="4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6">
        <f t="shared" si="9"/>
        <v>65.022222222222226</v>
      </c>
      <c r="P157">
        <f t="shared" si="10"/>
        <v>75.968174204355108</v>
      </c>
      <c r="Q157" t="s">
        <v>2037</v>
      </c>
      <c r="R157" t="s">
        <v>2038</v>
      </c>
      <c r="S157" s="10">
        <f t="shared" si="12"/>
        <v>27038.320833333335</v>
      </c>
      <c r="T157" s="12">
        <f t="shared" si="11"/>
        <v>27039.820833333335</v>
      </c>
    </row>
    <row r="158" spans="1:20" x14ac:dyDescent="0.35">
      <c r="A158">
        <v>156</v>
      </c>
      <c r="B158" s="4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6">
        <f t="shared" si="9"/>
        <v>73.939560439560438</v>
      </c>
      <c r="P158">
        <f t="shared" si="10"/>
        <v>71.013192612137203</v>
      </c>
      <c r="Q158" t="s">
        <v>2033</v>
      </c>
      <c r="R158" t="s">
        <v>2034</v>
      </c>
      <c r="S158" s="10">
        <f t="shared" si="12"/>
        <v>27386.420833333334</v>
      </c>
      <c r="T158" s="12">
        <f t="shared" si="11"/>
        <v>27388.820833333335</v>
      </c>
    </row>
    <row r="159" spans="1:20" x14ac:dyDescent="0.35">
      <c r="A159">
        <v>157</v>
      </c>
      <c r="B159" s="4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6">
        <f t="shared" si="9"/>
        <v>52.666666666666664</v>
      </c>
      <c r="P159">
        <f t="shared" si="10"/>
        <v>73.733333333333334</v>
      </c>
      <c r="Q159" t="s">
        <v>2052</v>
      </c>
      <c r="R159" t="s">
        <v>2053</v>
      </c>
      <c r="S159" s="10">
        <f t="shared" si="12"/>
        <v>27175.924999999999</v>
      </c>
      <c r="T159" s="12">
        <f t="shared" si="11"/>
        <v>27177.125</v>
      </c>
    </row>
    <row r="160" spans="1:20" x14ac:dyDescent="0.35">
      <c r="A160">
        <v>158</v>
      </c>
      <c r="B160" s="4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6">
        <f t="shared" si="9"/>
        <v>220.95238095238096</v>
      </c>
      <c r="P160">
        <f t="shared" si="10"/>
        <v>113.17073170731707</v>
      </c>
      <c r="Q160" t="s">
        <v>2033</v>
      </c>
      <c r="R160" t="s">
        <v>2034</v>
      </c>
      <c r="S160" s="10">
        <f t="shared" si="12"/>
        <v>27246.724999999999</v>
      </c>
      <c r="T160" s="12">
        <f t="shared" si="11"/>
        <v>27246.825000000001</v>
      </c>
    </row>
    <row r="161" spans="1:20" x14ac:dyDescent="0.35">
      <c r="A161">
        <v>159</v>
      </c>
      <c r="B161" s="4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6">
        <f t="shared" si="9"/>
        <v>100.01150627615063</v>
      </c>
      <c r="P161">
        <f t="shared" si="10"/>
        <v>105.00933552992861</v>
      </c>
      <c r="Q161" t="s">
        <v>2037</v>
      </c>
      <c r="R161" t="s">
        <v>2038</v>
      </c>
      <c r="S161" s="10">
        <f t="shared" si="12"/>
        <v>27367.220833333333</v>
      </c>
      <c r="T161" s="12">
        <f t="shared" si="11"/>
        <v>27369.020833333332</v>
      </c>
    </row>
    <row r="162" spans="1:20" x14ac:dyDescent="0.35">
      <c r="A162">
        <v>160</v>
      </c>
      <c r="B162" s="4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6">
        <f t="shared" si="9"/>
        <v>162.3125</v>
      </c>
      <c r="P162">
        <f t="shared" si="10"/>
        <v>79.176829268292678</v>
      </c>
      <c r="Q162" t="s">
        <v>2035</v>
      </c>
      <c r="R162" t="s">
        <v>2044</v>
      </c>
      <c r="S162" s="10">
        <f t="shared" si="12"/>
        <v>27370.320833333335</v>
      </c>
      <c r="T162" s="12">
        <f t="shared" si="11"/>
        <v>27371.920833333334</v>
      </c>
    </row>
    <row r="163" spans="1:20" ht="31" x14ac:dyDescent="0.35">
      <c r="A163">
        <v>161</v>
      </c>
      <c r="B163" s="4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6">
        <f t="shared" si="9"/>
        <v>78.181818181818187</v>
      </c>
      <c r="P163">
        <f t="shared" si="10"/>
        <v>57.333333333333336</v>
      </c>
      <c r="Q163" t="s">
        <v>2035</v>
      </c>
      <c r="R163" t="s">
        <v>2036</v>
      </c>
      <c r="S163" s="10">
        <f t="shared" si="12"/>
        <v>27239.120833333334</v>
      </c>
      <c r="T163" s="12">
        <f t="shared" si="11"/>
        <v>27239.720833333333</v>
      </c>
    </row>
    <row r="164" spans="1:20" ht="31" x14ac:dyDescent="0.35">
      <c r="A164">
        <v>162</v>
      </c>
      <c r="B164" s="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6">
        <f t="shared" si="9"/>
        <v>149.73770491803279</v>
      </c>
      <c r="P164">
        <f t="shared" si="10"/>
        <v>58.178343949044589</v>
      </c>
      <c r="Q164" t="s">
        <v>2033</v>
      </c>
      <c r="R164" t="s">
        <v>2034</v>
      </c>
      <c r="S164" s="10">
        <f t="shared" si="12"/>
        <v>27356.325000000001</v>
      </c>
      <c r="T164" s="12">
        <f t="shared" si="11"/>
        <v>27359.325000000001</v>
      </c>
    </row>
    <row r="165" spans="1:20" x14ac:dyDescent="0.35">
      <c r="A165">
        <v>163</v>
      </c>
      <c r="B165" s="4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6">
        <f t="shared" si="9"/>
        <v>253.25714285714284</v>
      </c>
      <c r="P165">
        <f t="shared" si="10"/>
        <v>36.032520325203251</v>
      </c>
      <c r="Q165" t="s">
        <v>2052</v>
      </c>
      <c r="R165" t="s">
        <v>2053</v>
      </c>
      <c r="S165" s="10">
        <f t="shared" si="12"/>
        <v>27314.920833333334</v>
      </c>
      <c r="T165" s="12">
        <f t="shared" si="11"/>
        <v>27319.825000000001</v>
      </c>
    </row>
    <row r="166" spans="1:20" x14ac:dyDescent="0.35">
      <c r="A166">
        <v>164</v>
      </c>
      <c r="B166" s="4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6">
        <f t="shared" si="9"/>
        <v>100.16943521594683</v>
      </c>
      <c r="P166">
        <f t="shared" si="10"/>
        <v>107.99068767908309</v>
      </c>
      <c r="Q166" t="s">
        <v>2037</v>
      </c>
      <c r="R166" t="s">
        <v>2038</v>
      </c>
      <c r="S166" s="10">
        <f t="shared" si="12"/>
        <v>27313.720833333333</v>
      </c>
      <c r="T166" s="12">
        <f t="shared" si="11"/>
        <v>27313.820833333335</v>
      </c>
    </row>
    <row r="167" spans="1:20" x14ac:dyDescent="0.35">
      <c r="A167">
        <v>165</v>
      </c>
      <c r="B167" s="4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6">
        <f t="shared" si="9"/>
        <v>121.99004424778761</v>
      </c>
      <c r="P167">
        <f t="shared" si="10"/>
        <v>44.005985634477256</v>
      </c>
      <c r="Q167" t="s">
        <v>2035</v>
      </c>
      <c r="R167" t="s">
        <v>2036</v>
      </c>
      <c r="S167" s="10">
        <f t="shared" si="12"/>
        <v>27306.920833333334</v>
      </c>
      <c r="T167" s="12">
        <f t="shared" si="11"/>
        <v>27310.120833333334</v>
      </c>
    </row>
    <row r="168" spans="1:20" x14ac:dyDescent="0.35">
      <c r="A168">
        <v>166</v>
      </c>
      <c r="B168" s="4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6">
        <f t="shared" si="9"/>
        <v>137.13265306122449</v>
      </c>
      <c r="P168">
        <f t="shared" si="10"/>
        <v>55.077868852459019</v>
      </c>
      <c r="Q168" t="s">
        <v>2052</v>
      </c>
      <c r="R168" t="s">
        <v>2053</v>
      </c>
      <c r="S168" s="10">
        <f t="shared" si="12"/>
        <v>27065.525000000001</v>
      </c>
      <c r="T168" s="12">
        <f t="shared" si="11"/>
        <v>27065.924999999999</v>
      </c>
    </row>
    <row r="169" spans="1:20" x14ac:dyDescent="0.35">
      <c r="A169">
        <v>167</v>
      </c>
      <c r="B169" s="4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6">
        <f t="shared" si="9"/>
        <v>415.53846153846149</v>
      </c>
      <c r="P169">
        <f t="shared" si="10"/>
        <v>74</v>
      </c>
      <c r="Q169" t="s">
        <v>2037</v>
      </c>
      <c r="R169" t="s">
        <v>2038</v>
      </c>
      <c r="S169" s="10">
        <f t="shared" si="12"/>
        <v>27155.620833333334</v>
      </c>
      <c r="T169" s="12">
        <f t="shared" si="11"/>
        <v>27156.620833333334</v>
      </c>
    </row>
    <row r="170" spans="1:20" x14ac:dyDescent="0.35">
      <c r="A170">
        <v>168</v>
      </c>
      <c r="B170" s="4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6">
        <f t="shared" si="9"/>
        <v>31.30913348946136</v>
      </c>
      <c r="P170">
        <f t="shared" si="10"/>
        <v>41.996858638743454</v>
      </c>
      <c r="Q170" t="s">
        <v>2033</v>
      </c>
      <c r="R170" t="s">
        <v>2043</v>
      </c>
      <c r="S170" s="10">
        <f t="shared" si="12"/>
        <v>27363.924999999999</v>
      </c>
      <c r="T170" s="12">
        <f t="shared" si="11"/>
        <v>27366.220833333333</v>
      </c>
    </row>
    <row r="171" spans="1:20" x14ac:dyDescent="0.35">
      <c r="A171">
        <v>169</v>
      </c>
      <c r="B171" s="4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6">
        <f t="shared" si="9"/>
        <v>424.08154506437768</v>
      </c>
      <c r="P171">
        <f t="shared" si="10"/>
        <v>77.988161010260455</v>
      </c>
      <c r="Q171" t="s">
        <v>2039</v>
      </c>
      <c r="R171" t="s">
        <v>2050</v>
      </c>
      <c r="S171" s="10">
        <f t="shared" si="12"/>
        <v>27119.820833333335</v>
      </c>
      <c r="T171" s="12">
        <f t="shared" si="11"/>
        <v>27122.620833333334</v>
      </c>
    </row>
    <row r="172" spans="1:20" x14ac:dyDescent="0.35">
      <c r="A172">
        <v>170</v>
      </c>
      <c r="B172" s="4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6">
        <f t="shared" si="9"/>
        <v>2.93886230728336</v>
      </c>
      <c r="P172">
        <f t="shared" si="10"/>
        <v>82.507462686567166</v>
      </c>
      <c r="Q172" t="s">
        <v>2033</v>
      </c>
      <c r="R172" t="s">
        <v>2043</v>
      </c>
      <c r="S172" s="10">
        <f t="shared" si="12"/>
        <v>27307.120833333334</v>
      </c>
      <c r="T172" s="12">
        <f t="shared" si="11"/>
        <v>27307.820833333335</v>
      </c>
    </row>
    <row r="173" spans="1:20" ht="31" x14ac:dyDescent="0.35">
      <c r="A173">
        <v>171</v>
      </c>
      <c r="B173" s="4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6">
        <f t="shared" si="9"/>
        <v>10.63265306122449</v>
      </c>
      <c r="P173">
        <f t="shared" si="10"/>
        <v>104.2</v>
      </c>
      <c r="Q173" t="s">
        <v>2045</v>
      </c>
      <c r="R173" t="s">
        <v>2057</v>
      </c>
      <c r="S173" s="10">
        <f t="shared" si="12"/>
        <v>27183.920833333334</v>
      </c>
      <c r="T173" s="12">
        <f t="shared" si="11"/>
        <v>27186.120833333334</v>
      </c>
    </row>
    <row r="174" spans="1:20" x14ac:dyDescent="0.35">
      <c r="A174">
        <v>172</v>
      </c>
      <c r="B174" s="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6">
        <f t="shared" si="9"/>
        <v>82.875</v>
      </c>
      <c r="P174">
        <f t="shared" si="10"/>
        <v>25.5</v>
      </c>
      <c r="Q174" t="s">
        <v>2039</v>
      </c>
      <c r="R174" t="s">
        <v>2040</v>
      </c>
      <c r="S174" s="10">
        <f t="shared" si="12"/>
        <v>27196.020833333332</v>
      </c>
      <c r="T174" s="12">
        <f t="shared" si="11"/>
        <v>27197.520833333332</v>
      </c>
    </row>
    <row r="175" spans="1:20" x14ac:dyDescent="0.35">
      <c r="A175">
        <v>173</v>
      </c>
      <c r="B175" s="4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6">
        <f t="shared" si="9"/>
        <v>163.01447776628748</v>
      </c>
      <c r="P175">
        <f t="shared" si="10"/>
        <v>100.98334401024984</v>
      </c>
      <c r="Q175" t="s">
        <v>2037</v>
      </c>
      <c r="R175" t="s">
        <v>2038</v>
      </c>
      <c r="S175" s="10">
        <f t="shared" si="12"/>
        <v>27153.320833333335</v>
      </c>
      <c r="T175" s="12">
        <f t="shared" si="11"/>
        <v>27153.920833333334</v>
      </c>
    </row>
    <row r="176" spans="1:20" x14ac:dyDescent="0.35">
      <c r="A176">
        <v>174</v>
      </c>
      <c r="B176" s="4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6">
        <f t="shared" si="9"/>
        <v>894.66666666666674</v>
      </c>
      <c r="P176">
        <f t="shared" si="10"/>
        <v>111.83333333333333</v>
      </c>
      <c r="Q176" t="s">
        <v>2035</v>
      </c>
      <c r="R176" t="s">
        <v>2044</v>
      </c>
      <c r="S176" s="10">
        <f t="shared" si="12"/>
        <v>27240.320833333335</v>
      </c>
      <c r="T176" s="12">
        <f t="shared" si="11"/>
        <v>27240.420833333334</v>
      </c>
    </row>
    <row r="177" spans="1:20" x14ac:dyDescent="0.35">
      <c r="A177">
        <v>175</v>
      </c>
      <c r="B177" s="4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6">
        <f t="shared" si="9"/>
        <v>26.191501103752756</v>
      </c>
      <c r="P177">
        <f t="shared" si="10"/>
        <v>41.999115044247787</v>
      </c>
      <c r="Q177" t="s">
        <v>2037</v>
      </c>
      <c r="R177" t="s">
        <v>2038</v>
      </c>
      <c r="S177" s="10">
        <f t="shared" si="12"/>
        <v>27273.420833333334</v>
      </c>
      <c r="T177" s="12">
        <f t="shared" si="11"/>
        <v>27275.320833333335</v>
      </c>
    </row>
    <row r="178" spans="1:20" ht="31" x14ac:dyDescent="0.35">
      <c r="A178">
        <v>176</v>
      </c>
      <c r="B178" s="4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6">
        <f t="shared" si="9"/>
        <v>74.834782608695647</v>
      </c>
      <c r="P178">
        <f t="shared" si="10"/>
        <v>110.05115089514067</v>
      </c>
      <c r="Q178" t="s">
        <v>2037</v>
      </c>
      <c r="R178" t="s">
        <v>2038</v>
      </c>
      <c r="S178" s="10">
        <f t="shared" si="12"/>
        <v>27273.720833333333</v>
      </c>
      <c r="T178" s="12">
        <f t="shared" si="11"/>
        <v>27274.620833333334</v>
      </c>
    </row>
    <row r="179" spans="1:20" x14ac:dyDescent="0.35">
      <c r="A179">
        <v>177</v>
      </c>
      <c r="B179" s="4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6">
        <f t="shared" si="9"/>
        <v>416.47680412371136</v>
      </c>
      <c r="P179">
        <f t="shared" si="10"/>
        <v>58.997079225994888</v>
      </c>
      <c r="Q179" t="s">
        <v>2037</v>
      </c>
      <c r="R179" t="s">
        <v>2038</v>
      </c>
      <c r="S179" s="10">
        <f t="shared" si="12"/>
        <v>27061.825000000001</v>
      </c>
      <c r="T179" s="12">
        <f t="shared" si="11"/>
        <v>27064.325000000001</v>
      </c>
    </row>
    <row r="180" spans="1:20" x14ac:dyDescent="0.35">
      <c r="A180">
        <v>178</v>
      </c>
      <c r="B180" s="4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6">
        <f t="shared" si="9"/>
        <v>96.208333333333329</v>
      </c>
      <c r="P180">
        <f t="shared" si="10"/>
        <v>32.985714285714288</v>
      </c>
      <c r="Q180" t="s">
        <v>2031</v>
      </c>
      <c r="R180" t="s">
        <v>2032</v>
      </c>
      <c r="S180" s="10">
        <f t="shared" si="12"/>
        <v>27312.020833333332</v>
      </c>
      <c r="T180" s="12">
        <f t="shared" si="11"/>
        <v>27312.920833333334</v>
      </c>
    </row>
    <row r="181" spans="1:20" ht="31" x14ac:dyDescent="0.35">
      <c r="A181">
        <v>179</v>
      </c>
      <c r="B181" s="4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6">
        <f t="shared" si="9"/>
        <v>357.71910112359546</v>
      </c>
      <c r="P181">
        <f t="shared" si="10"/>
        <v>45.005654509471306</v>
      </c>
      <c r="Q181" t="s">
        <v>2037</v>
      </c>
      <c r="R181" t="s">
        <v>2038</v>
      </c>
      <c r="S181" s="10">
        <f t="shared" si="12"/>
        <v>27147.120833333334</v>
      </c>
      <c r="T181" s="12">
        <f t="shared" si="11"/>
        <v>27147.220833333333</v>
      </c>
    </row>
    <row r="182" spans="1:20" x14ac:dyDescent="0.35">
      <c r="A182">
        <v>180</v>
      </c>
      <c r="B182" s="4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6">
        <f t="shared" si="9"/>
        <v>308.45714285714286</v>
      </c>
      <c r="P182">
        <f t="shared" si="10"/>
        <v>81.98196487897485</v>
      </c>
      <c r="Q182" t="s">
        <v>2035</v>
      </c>
      <c r="R182" t="s">
        <v>2044</v>
      </c>
      <c r="S182" s="10">
        <f t="shared" si="12"/>
        <v>27038.020833333332</v>
      </c>
      <c r="T182" s="12">
        <f t="shared" si="11"/>
        <v>27038.520833333332</v>
      </c>
    </row>
    <row r="183" spans="1:20" x14ac:dyDescent="0.35">
      <c r="A183">
        <v>181</v>
      </c>
      <c r="B183" s="4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6">
        <f t="shared" si="9"/>
        <v>61.802325581395344</v>
      </c>
      <c r="P183">
        <f t="shared" si="10"/>
        <v>39.080882352941174</v>
      </c>
      <c r="Q183" t="s">
        <v>2035</v>
      </c>
      <c r="R183" t="s">
        <v>2036</v>
      </c>
      <c r="S183" s="10">
        <f t="shared" si="12"/>
        <v>27313.320833333335</v>
      </c>
      <c r="T183" s="12">
        <f t="shared" si="11"/>
        <v>27315.120833333334</v>
      </c>
    </row>
    <row r="184" spans="1:20" ht="31" x14ac:dyDescent="0.35">
      <c r="A184">
        <v>182</v>
      </c>
      <c r="B184" s="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6">
        <f t="shared" si="9"/>
        <v>722.32472324723244</v>
      </c>
      <c r="P184">
        <f t="shared" si="10"/>
        <v>58.996383363471971</v>
      </c>
      <c r="Q184" t="s">
        <v>2037</v>
      </c>
      <c r="R184" t="s">
        <v>2038</v>
      </c>
      <c r="S184" s="10">
        <f t="shared" si="12"/>
        <v>27375.220833333333</v>
      </c>
      <c r="T184" s="12">
        <f t="shared" si="11"/>
        <v>27376.820833333335</v>
      </c>
    </row>
    <row r="185" spans="1:20" ht="31" x14ac:dyDescent="0.35">
      <c r="A185">
        <v>183</v>
      </c>
      <c r="B185" s="4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6">
        <f t="shared" si="9"/>
        <v>69.117647058823522</v>
      </c>
      <c r="P185">
        <f t="shared" si="10"/>
        <v>40.988372093023258</v>
      </c>
      <c r="Q185" t="s">
        <v>2033</v>
      </c>
      <c r="R185" t="s">
        <v>2034</v>
      </c>
      <c r="S185" s="10">
        <f t="shared" si="12"/>
        <v>27055.120833333334</v>
      </c>
      <c r="T185" s="12">
        <f t="shared" si="11"/>
        <v>27056.420833333334</v>
      </c>
    </row>
    <row r="186" spans="1:20" x14ac:dyDescent="0.35">
      <c r="A186">
        <v>184</v>
      </c>
      <c r="B186" s="4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6">
        <f t="shared" si="9"/>
        <v>293.05555555555554</v>
      </c>
      <c r="P186">
        <f t="shared" si="10"/>
        <v>31.029411764705884</v>
      </c>
      <c r="Q186" t="s">
        <v>2037</v>
      </c>
      <c r="R186" t="s">
        <v>2038</v>
      </c>
      <c r="S186" s="10">
        <f t="shared" si="12"/>
        <v>27370.920833333334</v>
      </c>
      <c r="T186" s="12">
        <f t="shared" si="11"/>
        <v>27371.020833333332</v>
      </c>
    </row>
    <row r="187" spans="1:20" x14ac:dyDescent="0.35">
      <c r="A187">
        <v>185</v>
      </c>
      <c r="B187" s="4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6">
        <f t="shared" si="9"/>
        <v>71.8</v>
      </c>
      <c r="P187">
        <f t="shared" si="10"/>
        <v>37.789473684210527</v>
      </c>
      <c r="Q187" t="s">
        <v>2039</v>
      </c>
      <c r="R187" t="s">
        <v>2058</v>
      </c>
      <c r="S187" s="10">
        <f t="shared" si="12"/>
        <v>27335.420833333334</v>
      </c>
      <c r="T187" s="12">
        <f t="shared" si="11"/>
        <v>27336.520833333332</v>
      </c>
    </row>
    <row r="188" spans="1:20" x14ac:dyDescent="0.35">
      <c r="A188">
        <v>186</v>
      </c>
      <c r="B188" s="4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6">
        <f t="shared" si="9"/>
        <v>31.934684684684683</v>
      </c>
      <c r="P188">
        <f t="shared" si="10"/>
        <v>32.006772009029348</v>
      </c>
      <c r="Q188" t="s">
        <v>2037</v>
      </c>
      <c r="R188" t="s">
        <v>2038</v>
      </c>
      <c r="S188" s="10">
        <f t="shared" si="12"/>
        <v>27190.320833333335</v>
      </c>
      <c r="T188" s="12">
        <f t="shared" si="11"/>
        <v>27191.820833333335</v>
      </c>
    </row>
    <row r="189" spans="1:20" x14ac:dyDescent="0.35">
      <c r="A189">
        <v>187</v>
      </c>
      <c r="B189" s="4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6">
        <f t="shared" si="9"/>
        <v>229.87375415282392</v>
      </c>
      <c r="P189">
        <f t="shared" si="10"/>
        <v>95.966712898751737</v>
      </c>
      <c r="Q189" t="s">
        <v>2039</v>
      </c>
      <c r="R189" t="s">
        <v>2050</v>
      </c>
      <c r="S189" s="10">
        <f t="shared" si="12"/>
        <v>27144.924999999999</v>
      </c>
      <c r="T189" s="12">
        <f t="shared" si="11"/>
        <v>27147.720833333333</v>
      </c>
    </row>
    <row r="190" spans="1:20" x14ac:dyDescent="0.35">
      <c r="A190">
        <v>188</v>
      </c>
      <c r="B190" s="4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6">
        <f t="shared" si="9"/>
        <v>32.012195121951223</v>
      </c>
      <c r="P190">
        <f t="shared" si="10"/>
        <v>75</v>
      </c>
      <c r="Q190" t="s">
        <v>2037</v>
      </c>
      <c r="R190" t="s">
        <v>2038</v>
      </c>
      <c r="S190" s="10">
        <f t="shared" si="12"/>
        <v>27209.625</v>
      </c>
      <c r="T190" s="12">
        <f t="shared" si="11"/>
        <v>27209.724999999999</v>
      </c>
    </row>
    <row r="191" spans="1:20" x14ac:dyDescent="0.35">
      <c r="A191">
        <v>189</v>
      </c>
      <c r="B191" s="4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6">
        <f t="shared" si="9"/>
        <v>23.525352848928385</v>
      </c>
      <c r="P191">
        <f t="shared" si="10"/>
        <v>102.0498866213152</v>
      </c>
      <c r="Q191" t="s">
        <v>2037</v>
      </c>
      <c r="R191" t="s">
        <v>2038</v>
      </c>
      <c r="S191" s="10">
        <f t="shared" si="12"/>
        <v>27255.424999999999</v>
      </c>
      <c r="T191" s="12">
        <f t="shared" si="11"/>
        <v>27255.424999999999</v>
      </c>
    </row>
    <row r="192" spans="1:20" x14ac:dyDescent="0.35">
      <c r="A192">
        <v>190</v>
      </c>
      <c r="B192" s="4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6">
        <f t="shared" si="9"/>
        <v>68.594594594594597</v>
      </c>
      <c r="P192">
        <f t="shared" si="10"/>
        <v>105.75</v>
      </c>
      <c r="Q192" t="s">
        <v>2037</v>
      </c>
      <c r="R192" t="s">
        <v>2038</v>
      </c>
      <c r="S192" s="10">
        <f t="shared" si="12"/>
        <v>27155.020833333332</v>
      </c>
      <c r="T192" s="12">
        <f t="shared" si="11"/>
        <v>27155.120833333334</v>
      </c>
    </row>
    <row r="193" spans="1:20" x14ac:dyDescent="0.35">
      <c r="A193">
        <v>191</v>
      </c>
      <c r="B193" s="4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6">
        <f t="shared" si="9"/>
        <v>37.952380952380956</v>
      </c>
      <c r="P193">
        <f t="shared" si="10"/>
        <v>37.069767441860463</v>
      </c>
      <c r="Q193" t="s">
        <v>2037</v>
      </c>
      <c r="R193" t="s">
        <v>2038</v>
      </c>
      <c r="S193" s="10">
        <f t="shared" si="12"/>
        <v>27365.720833333333</v>
      </c>
      <c r="T193" s="12">
        <f t="shared" si="11"/>
        <v>27366.020833333332</v>
      </c>
    </row>
    <row r="194" spans="1:20" x14ac:dyDescent="0.35">
      <c r="A194">
        <v>192</v>
      </c>
      <c r="B194" s="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6">
        <f t="shared" si="9"/>
        <v>19.992957746478872</v>
      </c>
      <c r="P194">
        <f t="shared" si="10"/>
        <v>35.049382716049379</v>
      </c>
      <c r="Q194" t="s">
        <v>2033</v>
      </c>
      <c r="R194" t="s">
        <v>2034</v>
      </c>
      <c r="S194" s="10">
        <f t="shared" si="12"/>
        <v>27193.820833333335</v>
      </c>
      <c r="T194" s="12">
        <f t="shared" si="11"/>
        <v>27194.220833333333</v>
      </c>
    </row>
    <row r="195" spans="1:20" x14ac:dyDescent="0.35">
      <c r="A195">
        <v>193</v>
      </c>
      <c r="B195" s="4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6">
        <f t="shared" ref="O195:O258" si="13">MAX(0,(E195/D195)*100)</f>
        <v>45.636363636363633</v>
      </c>
      <c r="P195">
        <f t="shared" ref="P195:P258" si="14">IFERROR(AVERAGE(E195/G195),0)</f>
        <v>46.338461538461537</v>
      </c>
      <c r="Q195" t="s">
        <v>2033</v>
      </c>
      <c r="R195" t="s">
        <v>2043</v>
      </c>
      <c r="S195" s="10">
        <f t="shared" si="12"/>
        <v>27331.920833333334</v>
      </c>
      <c r="T195" s="12">
        <f t="shared" ref="T195:T258" si="15">K195/864000+DATE(1970,1,1)</f>
        <v>27332.320833333335</v>
      </c>
    </row>
    <row r="196" spans="1:20" x14ac:dyDescent="0.35">
      <c r="A196">
        <v>194</v>
      </c>
      <c r="B196" s="4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6">
        <f t="shared" si="13"/>
        <v>122.7605633802817</v>
      </c>
      <c r="P196">
        <f t="shared" si="14"/>
        <v>69.174603174603178</v>
      </c>
      <c r="Q196" t="s">
        <v>2033</v>
      </c>
      <c r="R196" t="s">
        <v>2055</v>
      </c>
      <c r="S196" s="10">
        <f t="shared" si="12"/>
        <v>27238.220833333333</v>
      </c>
      <c r="T196" s="12">
        <f t="shared" si="15"/>
        <v>27239.820833333335</v>
      </c>
    </row>
    <row r="197" spans="1:20" x14ac:dyDescent="0.35">
      <c r="A197">
        <v>195</v>
      </c>
      <c r="B197" s="4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6">
        <f t="shared" si="13"/>
        <v>361.75316455696202</v>
      </c>
      <c r="P197">
        <f t="shared" si="14"/>
        <v>109.07824427480917</v>
      </c>
      <c r="Q197" t="s">
        <v>2033</v>
      </c>
      <c r="R197" t="s">
        <v>2041</v>
      </c>
      <c r="S197" s="10">
        <f t="shared" si="12"/>
        <v>27343.120833333334</v>
      </c>
      <c r="T197" s="12">
        <f t="shared" si="15"/>
        <v>27343.820833333335</v>
      </c>
    </row>
    <row r="198" spans="1:20" x14ac:dyDescent="0.35">
      <c r="A198">
        <v>196</v>
      </c>
      <c r="B198" s="4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6">
        <f t="shared" si="13"/>
        <v>63.146341463414636</v>
      </c>
      <c r="P198">
        <f t="shared" si="14"/>
        <v>51.78</v>
      </c>
      <c r="Q198" t="s">
        <v>2035</v>
      </c>
      <c r="R198" t="s">
        <v>2044</v>
      </c>
      <c r="S198" s="10">
        <f t="shared" si="12"/>
        <v>27273.720833333333</v>
      </c>
      <c r="T198" s="12">
        <f t="shared" si="15"/>
        <v>27275.620833333334</v>
      </c>
    </row>
    <row r="199" spans="1:20" x14ac:dyDescent="0.35">
      <c r="A199">
        <v>197</v>
      </c>
      <c r="B199" s="4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6">
        <f t="shared" si="13"/>
        <v>298.20475319926874</v>
      </c>
      <c r="P199">
        <f t="shared" si="14"/>
        <v>82.010055304172951</v>
      </c>
      <c r="Q199" t="s">
        <v>2039</v>
      </c>
      <c r="R199" t="s">
        <v>2042</v>
      </c>
      <c r="S199" s="10">
        <f t="shared" si="12"/>
        <v>27303.020833333332</v>
      </c>
      <c r="T199" s="12">
        <f t="shared" si="15"/>
        <v>27304.420833333334</v>
      </c>
    </row>
    <row r="200" spans="1:20" x14ac:dyDescent="0.35">
      <c r="A200">
        <v>198</v>
      </c>
      <c r="B200" s="4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6">
        <f t="shared" si="13"/>
        <v>9.5585443037974684</v>
      </c>
      <c r="P200">
        <f t="shared" si="14"/>
        <v>35.958333333333336</v>
      </c>
      <c r="Q200" t="s">
        <v>2033</v>
      </c>
      <c r="R200" t="s">
        <v>2041</v>
      </c>
      <c r="S200" s="10">
        <f t="shared" si="12"/>
        <v>27051.720833333333</v>
      </c>
      <c r="T200" s="12">
        <f t="shared" si="15"/>
        <v>27054.620833333334</v>
      </c>
    </row>
    <row r="201" spans="1:20" x14ac:dyDescent="0.35">
      <c r="A201">
        <v>199</v>
      </c>
      <c r="B201" s="4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6">
        <f t="shared" si="13"/>
        <v>53.777777777777779</v>
      </c>
      <c r="P201">
        <f t="shared" si="14"/>
        <v>74.461538461538467</v>
      </c>
      <c r="Q201" t="s">
        <v>2033</v>
      </c>
      <c r="R201" t="s">
        <v>2034</v>
      </c>
      <c r="S201" s="10">
        <f t="shared" si="12"/>
        <v>27231.320833333335</v>
      </c>
      <c r="T201" s="12">
        <f t="shared" si="15"/>
        <v>27231.720833333333</v>
      </c>
    </row>
    <row r="202" spans="1:20" x14ac:dyDescent="0.35">
      <c r="A202">
        <v>200</v>
      </c>
      <c r="B202" s="4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6">
        <f t="shared" si="13"/>
        <v>2</v>
      </c>
      <c r="P202">
        <f t="shared" si="14"/>
        <v>2</v>
      </c>
      <c r="Q202" t="s">
        <v>2037</v>
      </c>
      <c r="R202" t="s">
        <v>2038</v>
      </c>
      <c r="S202" s="10">
        <f t="shared" si="12"/>
        <v>27038.320833333335</v>
      </c>
      <c r="T202" s="12">
        <f t="shared" si="15"/>
        <v>27039.420833333334</v>
      </c>
    </row>
    <row r="203" spans="1:20" x14ac:dyDescent="0.35">
      <c r="A203">
        <v>201</v>
      </c>
      <c r="B203" s="4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6">
        <f t="shared" si="13"/>
        <v>681.19047619047615</v>
      </c>
      <c r="P203">
        <f t="shared" si="14"/>
        <v>91.114649681528661</v>
      </c>
      <c r="Q203" t="s">
        <v>2035</v>
      </c>
      <c r="R203" t="s">
        <v>2036</v>
      </c>
      <c r="S203" s="10">
        <f t="shared" si="12"/>
        <v>27196.620833333334</v>
      </c>
      <c r="T203" s="12">
        <f t="shared" si="15"/>
        <v>27198.420833333334</v>
      </c>
    </row>
    <row r="204" spans="1:20" x14ac:dyDescent="0.35">
      <c r="A204">
        <v>202</v>
      </c>
      <c r="B204" s="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6">
        <f t="shared" si="13"/>
        <v>78.831325301204828</v>
      </c>
      <c r="P204">
        <f t="shared" si="14"/>
        <v>79.792682926829272</v>
      </c>
      <c r="Q204" t="s">
        <v>2031</v>
      </c>
      <c r="R204" t="s">
        <v>2032</v>
      </c>
      <c r="S204" s="10">
        <f t="shared" si="12"/>
        <v>27093.920833333334</v>
      </c>
      <c r="T204" s="12">
        <f t="shared" si="15"/>
        <v>27094.320833333335</v>
      </c>
    </row>
    <row r="205" spans="1:20" ht="31" x14ac:dyDescent="0.35">
      <c r="A205">
        <v>203</v>
      </c>
      <c r="B205" s="4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6">
        <f t="shared" si="13"/>
        <v>134.40792216817235</v>
      </c>
      <c r="P205">
        <f t="shared" si="14"/>
        <v>42.999777678968428</v>
      </c>
      <c r="Q205" t="s">
        <v>2037</v>
      </c>
      <c r="R205" t="s">
        <v>2038</v>
      </c>
      <c r="S205" s="10">
        <f t="shared" ref="S205:S268" si="16">J:J/864000+DATE(1970,1,1)</f>
        <v>27287.325000000001</v>
      </c>
      <c r="T205" s="12">
        <f t="shared" si="15"/>
        <v>27287.525000000001</v>
      </c>
    </row>
    <row r="206" spans="1:20" x14ac:dyDescent="0.35">
      <c r="A206">
        <v>204</v>
      </c>
      <c r="B206" s="4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6">
        <f t="shared" si="13"/>
        <v>3.3719999999999999</v>
      </c>
      <c r="P206">
        <f t="shared" si="14"/>
        <v>63.225000000000001</v>
      </c>
      <c r="Q206" t="s">
        <v>2033</v>
      </c>
      <c r="R206" t="s">
        <v>2056</v>
      </c>
      <c r="S206" s="10">
        <f t="shared" si="16"/>
        <v>27075.720833333333</v>
      </c>
      <c r="T206" s="12">
        <f t="shared" si="15"/>
        <v>27076.720833333333</v>
      </c>
    </row>
    <row r="207" spans="1:20" x14ac:dyDescent="0.35">
      <c r="A207">
        <v>205</v>
      </c>
      <c r="B207" s="4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6">
        <f t="shared" si="13"/>
        <v>431.84615384615387</v>
      </c>
      <c r="P207">
        <f t="shared" si="14"/>
        <v>70.174999999999997</v>
      </c>
      <c r="Q207" t="s">
        <v>2037</v>
      </c>
      <c r="R207" t="s">
        <v>2038</v>
      </c>
      <c r="S207" s="10">
        <f t="shared" si="16"/>
        <v>27351.120833333334</v>
      </c>
      <c r="T207" s="12">
        <f t="shared" si="15"/>
        <v>27352.320833333335</v>
      </c>
    </row>
    <row r="208" spans="1:20" x14ac:dyDescent="0.35">
      <c r="A208">
        <v>206</v>
      </c>
      <c r="B208" s="4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6">
        <f t="shared" si="13"/>
        <v>38.844444444444441</v>
      </c>
      <c r="P208">
        <f t="shared" si="14"/>
        <v>61.333333333333336</v>
      </c>
      <c r="Q208" t="s">
        <v>2045</v>
      </c>
      <c r="R208" t="s">
        <v>2051</v>
      </c>
      <c r="S208" s="10">
        <f t="shared" si="16"/>
        <v>27035.724999999999</v>
      </c>
      <c r="T208" s="12">
        <f t="shared" si="15"/>
        <v>27036.625</v>
      </c>
    </row>
    <row r="209" spans="1:20" ht="31" x14ac:dyDescent="0.35">
      <c r="A209">
        <v>207</v>
      </c>
      <c r="B209" s="4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6">
        <f t="shared" si="13"/>
        <v>425.7</v>
      </c>
      <c r="P209">
        <f t="shared" si="14"/>
        <v>99</v>
      </c>
      <c r="Q209" t="s">
        <v>2033</v>
      </c>
      <c r="R209" t="s">
        <v>2034</v>
      </c>
      <c r="S209" s="10">
        <f t="shared" si="16"/>
        <v>27346.120833333334</v>
      </c>
      <c r="T209" s="12">
        <f t="shared" si="15"/>
        <v>27348.120833333334</v>
      </c>
    </row>
    <row r="210" spans="1:20" x14ac:dyDescent="0.35">
      <c r="A210">
        <v>208</v>
      </c>
      <c r="B210" s="4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6">
        <f t="shared" si="13"/>
        <v>101.12239715591672</v>
      </c>
      <c r="P210">
        <f t="shared" si="14"/>
        <v>96.984900146127615</v>
      </c>
      <c r="Q210" t="s">
        <v>2039</v>
      </c>
      <c r="R210" t="s">
        <v>2040</v>
      </c>
      <c r="S210" s="10">
        <f t="shared" si="16"/>
        <v>27316.924999999999</v>
      </c>
      <c r="T210" s="12">
        <f t="shared" si="15"/>
        <v>27319.325000000001</v>
      </c>
    </row>
    <row r="211" spans="1:20" x14ac:dyDescent="0.35">
      <c r="A211">
        <v>209</v>
      </c>
      <c r="B211" s="4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6">
        <f t="shared" si="13"/>
        <v>21.188688946015425</v>
      </c>
      <c r="P211">
        <f t="shared" si="14"/>
        <v>51.004950495049506</v>
      </c>
      <c r="Q211" t="s">
        <v>2039</v>
      </c>
      <c r="R211" t="s">
        <v>2040</v>
      </c>
      <c r="S211" s="10">
        <f t="shared" si="16"/>
        <v>27261.720833333333</v>
      </c>
      <c r="T211" s="12">
        <f t="shared" si="15"/>
        <v>27262.420833333334</v>
      </c>
    </row>
    <row r="212" spans="1:20" x14ac:dyDescent="0.35">
      <c r="A212">
        <v>210</v>
      </c>
      <c r="B212" s="4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6">
        <f t="shared" si="13"/>
        <v>67.425531914893625</v>
      </c>
      <c r="P212">
        <f t="shared" si="14"/>
        <v>28.044247787610619</v>
      </c>
      <c r="Q212" t="s">
        <v>2039</v>
      </c>
      <c r="R212" t="s">
        <v>2061</v>
      </c>
      <c r="S212" s="10">
        <f t="shared" si="16"/>
        <v>27291.825000000001</v>
      </c>
      <c r="T212" s="12">
        <f t="shared" si="15"/>
        <v>27294.520833333332</v>
      </c>
    </row>
    <row r="213" spans="1:20" ht="31" x14ac:dyDescent="0.35">
      <c r="A213">
        <v>211</v>
      </c>
      <c r="B213" s="4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6">
        <f t="shared" si="13"/>
        <v>94.923371647509583</v>
      </c>
      <c r="P213">
        <f t="shared" si="14"/>
        <v>60.984615384615381</v>
      </c>
      <c r="Q213" t="s">
        <v>2037</v>
      </c>
      <c r="R213" t="s">
        <v>2038</v>
      </c>
      <c r="S213" s="10">
        <f t="shared" si="16"/>
        <v>27163.420833333334</v>
      </c>
      <c r="T213" s="12">
        <f t="shared" si="15"/>
        <v>27165.820833333335</v>
      </c>
    </row>
    <row r="214" spans="1:20" ht="31" x14ac:dyDescent="0.35">
      <c r="A214">
        <v>212</v>
      </c>
      <c r="B214" s="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6">
        <f t="shared" si="13"/>
        <v>151.85185185185185</v>
      </c>
      <c r="P214">
        <f t="shared" si="14"/>
        <v>73.214285714285708</v>
      </c>
      <c r="Q214" t="s">
        <v>2037</v>
      </c>
      <c r="R214" t="s">
        <v>2038</v>
      </c>
      <c r="S214" s="10">
        <f t="shared" si="16"/>
        <v>27393.525000000001</v>
      </c>
      <c r="T214" s="12">
        <f t="shared" si="15"/>
        <v>27398.125</v>
      </c>
    </row>
    <row r="215" spans="1:20" ht="31" x14ac:dyDescent="0.35">
      <c r="A215">
        <v>213</v>
      </c>
      <c r="B215" s="4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6">
        <f t="shared" si="13"/>
        <v>195.16382252559728</v>
      </c>
      <c r="P215">
        <f t="shared" si="14"/>
        <v>39.997435299603637</v>
      </c>
      <c r="Q215" t="s">
        <v>2033</v>
      </c>
      <c r="R215" t="s">
        <v>2043</v>
      </c>
      <c r="S215" s="10">
        <f t="shared" si="16"/>
        <v>27060.920833333334</v>
      </c>
      <c r="T215" s="12">
        <f t="shared" si="15"/>
        <v>27061.724999999999</v>
      </c>
    </row>
    <row r="216" spans="1:20" x14ac:dyDescent="0.35">
      <c r="A216">
        <v>214</v>
      </c>
      <c r="B216" s="4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6">
        <f t="shared" si="13"/>
        <v>1023.1428571428571</v>
      </c>
      <c r="P216">
        <f t="shared" si="14"/>
        <v>86.812121212121212</v>
      </c>
      <c r="Q216" t="s">
        <v>2033</v>
      </c>
      <c r="R216" t="s">
        <v>2034</v>
      </c>
      <c r="S216" s="10">
        <f t="shared" si="16"/>
        <v>27053.020833333332</v>
      </c>
      <c r="T216" s="12">
        <f t="shared" si="15"/>
        <v>27053.620833333334</v>
      </c>
    </row>
    <row r="217" spans="1:20" x14ac:dyDescent="0.35">
      <c r="A217">
        <v>215</v>
      </c>
      <c r="B217" s="4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6">
        <f t="shared" si="13"/>
        <v>3.841836734693878</v>
      </c>
      <c r="P217">
        <f t="shared" si="14"/>
        <v>42.125874125874127</v>
      </c>
      <c r="Q217" t="s">
        <v>2037</v>
      </c>
      <c r="R217" t="s">
        <v>2038</v>
      </c>
      <c r="S217" s="10">
        <f t="shared" si="16"/>
        <v>27363.025000000001</v>
      </c>
      <c r="T217" s="12">
        <f t="shared" si="15"/>
        <v>27363.224999999999</v>
      </c>
    </row>
    <row r="218" spans="1:20" x14ac:dyDescent="0.35">
      <c r="A218">
        <v>216</v>
      </c>
      <c r="B218" s="4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6">
        <f t="shared" si="13"/>
        <v>155.07066557107643</v>
      </c>
      <c r="P218">
        <f t="shared" si="14"/>
        <v>103.97851239669421</v>
      </c>
      <c r="Q218" t="s">
        <v>2037</v>
      </c>
      <c r="R218" t="s">
        <v>2038</v>
      </c>
      <c r="S218" s="10">
        <f t="shared" si="16"/>
        <v>27099.025000000001</v>
      </c>
      <c r="T218" s="12">
        <f t="shared" si="15"/>
        <v>27099.224999999999</v>
      </c>
    </row>
    <row r="219" spans="1:20" x14ac:dyDescent="0.35">
      <c r="A219">
        <v>217</v>
      </c>
      <c r="B219" s="4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6">
        <f t="shared" si="13"/>
        <v>44.753477588871718</v>
      </c>
      <c r="P219">
        <f t="shared" si="14"/>
        <v>62.003211991434689</v>
      </c>
      <c r="Q219" t="s">
        <v>2039</v>
      </c>
      <c r="R219" t="s">
        <v>2061</v>
      </c>
      <c r="S219" s="10">
        <f t="shared" si="16"/>
        <v>27370.420833333334</v>
      </c>
      <c r="T219" s="12">
        <f t="shared" si="15"/>
        <v>27371.320833333335</v>
      </c>
    </row>
    <row r="220" spans="1:20" x14ac:dyDescent="0.35">
      <c r="A220">
        <v>218</v>
      </c>
      <c r="B220" s="4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6">
        <f t="shared" si="13"/>
        <v>215.94736842105263</v>
      </c>
      <c r="P220">
        <f t="shared" si="14"/>
        <v>31.005037783375315</v>
      </c>
      <c r="Q220" t="s">
        <v>2039</v>
      </c>
      <c r="R220" t="s">
        <v>2050</v>
      </c>
      <c r="S220" s="10">
        <f t="shared" si="16"/>
        <v>27097.924999999999</v>
      </c>
      <c r="T220" s="12">
        <f t="shared" si="15"/>
        <v>27101.325000000001</v>
      </c>
    </row>
    <row r="221" spans="1:20" x14ac:dyDescent="0.35">
      <c r="A221">
        <v>219</v>
      </c>
      <c r="B221" s="4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6">
        <f t="shared" si="13"/>
        <v>332.12709832134288</v>
      </c>
      <c r="P221">
        <f t="shared" si="14"/>
        <v>89.991552956465242</v>
      </c>
      <c r="Q221" t="s">
        <v>2039</v>
      </c>
      <c r="R221" t="s">
        <v>2047</v>
      </c>
      <c r="S221" s="10">
        <f t="shared" si="16"/>
        <v>27125.820833333335</v>
      </c>
      <c r="T221" s="12">
        <f t="shared" si="15"/>
        <v>27127.020833333332</v>
      </c>
    </row>
    <row r="222" spans="1:20" x14ac:dyDescent="0.35">
      <c r="A222">
        <v>220</v>
      </c>
      <c r="B222" s="4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6">
        <f t="shared" si="13"/>
        <v>8.4430379746835449</v>
      </c>
      <c r="P222">
        <f t="shared" si="14"/>
        <v>39.235294117647058</v>
      </c>
      <c r="Q222" t="s">
        <v>2037</v>
      </c>
      <c r="R222" t="s">
        <v>2038</v>
      </c>
      <c r="S222" s="10">
        <f t="shared" si="16"/>
        <v>27084.620833333334</v>
      </c>
      <c r="T222" s="12">
        <f t="shared" si="15"/>
        <v>27086.420833333334</v>
      </c>
    </row>
    <row r="223" spans="1:20" ht="31" x14ac:dyDescent="0.35">
      <c r="A223">
        <v>221</v>
      </c>
      <c r="B223" s="4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6">
        <f t="shared" si="13"/>
        <v>98.625514403292186</v>
      </c>
      <c r="P223">
        <f t="shared" si="14"/>
        <v>54.993116108306566</v>
      </c>
      <c r="Q223" t="s">
        <v>2031</v>
      </c>
      <c r="R223" t="s">
        <v>2032</v>
      </c>
      <c r="S223" s="10">
        <f t="shared" si="16"/>
        <v>27120.220833333333</v>
      </c>
      <c r="T223" s="12">
        <f t="shared" si="15"/>
        <v>27120.420833333334</v>
      </c>
    </row>
    <row r="224" spans="1:20" x14ac:dyDescent="0.35">
      <c r="A224">
        <v>222</v>
      </c>
      <c r="B224" s="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6">
        <f t="shared" si="13"/>
        <v>137.97916666666669</v>
      </c>
      <c r="P224">
        <f t="shared" si="14"/>
        <v>47.992753623188406</v>
      </c>
      <c r="Q224" t="s">
        <v>2052</v>
      </c>
      <c r="R224" t="s">
        <v>2053</v>
      </c>
      <c r="S224" s="10">
        <f t="shared" si="16"/>
        <v>27203.520833333332</v>
      </c>
      <c r="T224" s="12">
        <f t="shared" si="15"/>
        <v>27203.620833333334</v>
      </c>
    </row>
    <row r="225" spans="1:20" x14ac:dyDescent="0.35">
      <c r="A225">
        <v>223</v>
      </c>
      <c r="B225" s="4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6">
        <f t="shared" si="13"/>
        <v>93.81099656357388</v>
      </c>
      <c r="P225">
        <f t="shared" si="14"/>
        <v>87.966702470461868</v>
      </c>
      <c r="Q225" t="s">
        <v>2037</v>
      </c>
      <c r="R225" t="s">
        <v>2038</v>
      </c>
      <c r="S225" s="10">
        <f t="shared" si="16"/>
        <v>27256.620833333334</v>
      </c>
      <c r="T225" s="12">
        <f t="shared" si="15"/>
        <v>27258.020833333332</v>
      </c>
    </row>
    <row r="226" spans="1:20" x14ac:dyDescent="0.35">
      <c r="A226">
        <v>224</v>
      </c>
      <c r="B226" s="4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6">
        <f t="shared" si="13"/>
        <v>403.63930885529157</v>
      </c>
      <c r="P226">
        <f t="shared" si="14"/>
        <v>51.999165275459099</v>
      </c>
      <c r="Q226" t="s">
        <v>2039</v>
      </c>
      <c r="R226" t="s">
        <v>2061</v>
      </c>
      <c r="S226" s="10">
        <f t="shared" si="16"/>
        <v>27202.720833333333</v>
      </c>
      <c r="T226" s="12">
        <f t="shared" si="15"/>
        <v>27207.224999999999</v>
      </c>
    </row>
    <row r="227" spans="1:20" x14ac:dyDescent="0.35">
      <c r="A227">
        <v>225</v>
      </c>
      <c r="B227" s="4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6">
        <f t="shared" si="13"/>
        <v>260.1740412979351</v>
      </c>
      <c r="P227">
        <f t="shared" si="14"/>
        <v>29.999659863945578</v>
      </c>
      <c r="Q227" t="s">
        <v>2033</v>
      </c>
      <c r="R227" t="s">
        <v>2034</v>
      </c>
      <c r="S227" s="10">
        <f t="shared" si="16"/>
        <v>27188.320833333335</v>
      </c>
      <c r="T227" s="12">
        <f t="shared" si="15"/>
        <v>27188.320833333335</v>
      </c>
    </row>
    <row r="228" spans="1:20" x14ac:dyDescent="0.35">
      <c r="A228">
        <v>226</v>
      </c>
      <c r="B228" s="4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6">
        <f t="shared" si="13"/>
        <v>366.63333333333333</v>
      </c>
      <c r="P228">
        <f t="shared" si="14"/>
        <v>98.205357142857139</v>
      </c>
      <c r="Q228" t="s">
        <v>2052</v>
      </c>
      <c r="R228" t="s">
        <v>2053</v>
      </c>
      <c r="S228" s="10">
        <f t="shared" si="16"/>
        <v>27039.720833333333</v>
      </c>
      <c r="T228" s="12">
        <f t="shared" si="15"/>
        <v>27043.420833333334</v>
      </c>
    </row>
    <row r="229" spans="1:20" x14ac:dyDescent="0.35">
      <c r="A229">
        <v>227</v>
      </c>
      <c r="B229" s="4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6">
        <f t="shared" si="13"/>
        <v>168.72085385878489</v>
      </c>
      <c r="P229">
        <f t="shared" si="14"/>
        <v>108.96182396606575</v>
      </c>
      <c r="Q229" t="s">
        <v>2048</v>
      </c>
      <c r="R229" t="s">
        <v>2059</v>
      </c>
      <c r="S229" s="10">
        <f t="shared" si="16"/>
        <v>27226.020833333332</v>
      </c>
      <c r="T229" s="12">
        <f t="shared" si="15"/>
        <v>27226.620833333334</v>
      </c>
    </row>
    <row r="230" spans="1:20" x14ac:dyDescent="0.35">
      <c r="A230">
        <v>228</v>
      </c>
      <c r="B230" s="4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6">
        <f t="shared" si="13"/>
        <v>119.90717911530093</v>
      </c>
      <c r="P230">
        <f t="shared" si="14"/>
        <v>66.998379254457049</v>
      </c>
      <c r="Q230" t="s">
        <v>2039</v>
      </c>
      <c r="R230" t="s">
        <v>2047</v>
      </c>
      <c r="S230" s="10">
        <f t="shared" si="16"/>
        <v>27273.420833333334</v>
      </c>
      <c r="T230" s="12">
        <f t="shared" si="15"/>
        <v>27275.920833333334</v>
      </c>
    </row>
    <row r="231" spans="1:20" x14ac:dyDescent="0.35">
      <c r="A231">
        <v>229</v>
      </c>
      <c r="B231" s="4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6">
        <f t="shared" si="13"/>
        <v>193.68925233644859</v>
      </c>
      <c r="P231">
        <f t="shared" si="14"/>
        <v>64.99333594668758</v>
      </c>
      <c r="Q231" t="s">
        <v>2048</v>
      </c>
      <c r="R231" t="s">
        <v>2059</v>
      </c>
      <c r="S231" s="10">
        <f t="shared" si="16"/>
        <v>27300.820833333335</v>
      </c>
      <c r="T231" s="12">
        <f t="shared" si="15"/>
        <v>27305.620833333334</v>
      </c>
    </row>
    <row r="232" spans="1:20" x14ac:dyDescent="0.35">
      <c r="A232">
        <v>230</v>
      </c>
      <c r="B232" s="4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6">
        <f t="shared" si="13"/>
        <v>420.16666666666669</v>
      </c>
      <c r="P232">
        <f t="shared" si="14"/>
        <v>99.841584158415841</v>
      </c>
      <c r="Q232" t="s">
        <v>2048</v>
      </c>
      <c r="R232" t="s">
        <v>2049</v>
      </c>
      <c r="S232" s="10">
        <f t="shared" si="16"/>
        <v>27392.625</v>
      </c>
      <c r="T232" s="12">
        <f t="shared" si="15"/>
        <v>27392.625</v>
      </c>
    </row>
    <row r="233" spans="1:20" x14ac:dyDescent="0.35">
      <c r="A233">
        <v>231</v>
      </c>
      <c r="B233" s="4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6">
        <f t="shared" si="13"/>
        <v>76.708333333333329</v>
      </c>
      <c r="P233">
        <f t="shared" si="14"/>
        <v>82.432835820895519</v>
      </c>
      <c r="Q233" t="s">
        <v>2037</v>
      </c>
      <c r="R233" t="s">
        <v>2038</v>
      </c>
      <c r="S233" s="10">
        <f t="shared" si="16"/>
        <v>27153.620833333334</v>
      </c>
      <c r="T233" s="12">
        <f t="shared" si="15"/>
        <v>27159.420833333334</v>
      </c>
    </row>
    <row r="234" spans="1:20" x14ac:dyDescent="0.35">
      <c r="A234">
        <v>232</v>
      </c>
      <c r="B234" s="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6">
        <f t="shared" si="13"/>
        <v>171.26470588235293</v>
      </c>
      <c r="P234">
        <f t="shared" si="14"/>
        <v>63.293478260869563</v>
      </c>
      <c r="Q234" t="s">
        <v>2037</v>
      </c>
      <c r="R234" t="s">
        <v>2038</v>
      </c>
      <c r="S234" s="10">
        <f t="shared" si="16"/>
        <v>27269.720833333333</v>
      </c>
      <c r="T234" s="12">
        <f t="shared" si="15"/>
        <v>27269.820833333335</v>
      </c>
    </row>
    <row r="235" spans="1:20" x14ac:dyDescent="0.35">
      <c r="A235">
        <v>233</v>
      </c>
      <c r="B235" s="4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6">
        <f t="shared" si="13"/>
        <v>157.89473684210526</v>
      </c>
      <c r="P235">
        <f t="shared" si="14"/>
        <v>96.774193548387103</v>
      </c>
      <c r="Q235" t="s">
        <v>2039</v>
      </c>
      <c r="R235" t="s">
        <v>2047</v>
      </c>
      <c r="S235" s="10">
        <f t="shared" si="16"/>
        <v>27082.720833333333</v>
      </c>
      <c r="T235" s="12">
        <f t="shared" si="15"/>
        <v>27084.320833333335</v>
      </c>
    </row>
    <row r="236" spans="1:20" x14ac:dyDescent="0.35">
      <c r="A236">
        <v>234</v>
      </c>
      <c r="B236" s="4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6">
        <f t="shared" si="13"/>
        <v>109.08</v>
      </c>
      <c r="P236">
        <f t="shared" si="14"/>
        <v>54.906040268456373</v>
      </c>
      <c r="Q236" t="s">
        <v>2048</v>
      </c>
      <c r="R236" t="s">
        <v>2049</v>
      </c>
      <c r="S236" s="10">
        <f t="shared" si="16"/>
        <v>27309.020833333332</v>
      </c>
      <c r="T236" s="12">
        <f t="shared" si="15"/>
        <v>27309.720833333333</v>
      </c>
    </row>
    <row r="237" spans="1:20" ht="31" x14ac:dyDescent="0.35">
      <c r="A237">
        <v>235</v>
      </c>
      <c r="B237" s="4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6">
        <f t="shared" si="13"/>
        <v>41.732558139534881</v>
      </c>
      <c r="P237">
        <f t="shared" si="14"/>
        <v>39.010869565217391</v>
      </c>
      <c r="Q237" t="s">
        <v>2039</v>
      </c>
      <c r="R237" t="s">
        <v>2047</v>
      </c>
      <c r="S237" s="10">
        <f t="shared" si="16"/>
        <v>27290.025000000001</v>
      </c>
      <c r="T237" s="12">
        <f t="shared" si="15"/>
        <v>27290.525000000001</v>
      </c>
    </row>
    <row r="238" spans="1:20" x14ac:dyDescent="0.35">
      <c r="A238">
        <v>236</v>
      </c>
      <c r="B238" s="4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6">
        <f t="shared" si="13"/>
        <v>10.944303797468354</v>
      </c>
      <c r="P238">
        <f t="shared" si="14"/>
        <v>75.84210526315789</v>
      </c>
      <c r="Q238" t="s">
        <v>2033</v>
      </c>
      <c r="R238" t="s">
        <v>2034</v>
      </c>
      <c r="S238" s="10">
        <f t="shared" si="16"/>
        <v>27376.220833333333</v>
      </c>
      <c r="T238" s="12">
        <f t="shared" si="15"/>
        <v>27376.920833333334</v>
      </c>
    </row>
    <row r="239" spans="1:20" ht="31" x14ac:dyDescent="0.35">
      <c r="A239">
        <v>237</v>
      </c>
      <c r="B239" s="4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6">
        <f t="shared" si="13"/>
        <v>159.3763440860215</v>
      </c>
      <c r="P239">
        <f t="shared" si="14"/>
        <v>45.051671732522799</v>
      </c>
      <c r="Q239" t="s">
        <v>2039</v>
      </c>
      <c r="R239" t="s">
        <v>2047</v>
      </c>
      <c r="S239" s="10">
        <f t="shared" si="16"/>
        <v>27187.520833333332</v>
      </c>
      <c r="T239" s="12">
        <f t="shared" si="15"/>
        <v>27187.720833333333</v>
      </c>
    </row>
    <row r="240" spans="1:20" x14ac:dyDescent="0.35">
      <c r="A240">
        <v>238</v>
      </c>
      <c r="B240" s="4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6">
        <f t="shared" si="13"/>
        <v>422.41666666666669</v>
      </c>
      <c r="P240">
        <f t="shared" si="14"/>
        <v>104.51546391752578</v>
      </c>
      <c r="Q240" t="s">
        <v>2037</v>
      </c>
      <c r="R240" t="s">
        <v>2038</v>
      </c>
      <c r="S240" s="10">
        <f t="shared" si="16"/>
        <v>27320.424999999999</v>
      </c>
      <c r="T240" s="12">
        <f t="shared" si="15"/>
        <v>27322.924999999999</v>
      </c>
    </row>
    <row r="241" spans="1:20" ht="31" x14ac:dyDescent="0.35">
      <c r="A241">
        <v>239</v>
      </c>
      <c r="B241" s="4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6">
        <f t="shared" si="13"/>
        <v>97.71875</v>
      </c>
      <c r="P241">
        <f t="shared" si="14"/>
        <v>76.268292682926827</v>
      </c>
      <c r="Q241" t="s">
        <v>2035</v>
      </c>
      <c r="R241" t="s">
        <v>2044</v>
      </c>
      <c r="S241" s="10">
        <f t="shared" si="16"/>
        <v>27236.620833333334</v>
      </c>
      <c r="T241" s="12">
        <f t="shared" si="15"/>
        <v>27237.020833333332</v>
      </c>
    </row>
    <row r="242" spans="1:20" x14ac:dyDescent="0.35">
      <c r="A242">
        <v>240</v>
      </c>
      <c r="B242" s="4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6">
        <f t="shared" si="13"/>
        <v>418.78911564625849</v>
      </c>
      <c r="P242">
        <f t="shared" si="14"/>
        <v>69.015695067264573</v>
      </c>
      <c r="Q242" t="s">
        <v>2037</v>
      </c>
      <c r="R242" t="s">
        <v>2038</v>
      </c>
      <c r="S242" s="10">
        <f t="shared" si="16"/>
        <v>27051.720833333333</v>
      </c>
      <c r="T242" s="12">
        <f t="shared" si="15"/>
        <v>27051.820833333335</v>
      </c>
    </row>
    <row r="243" spans="1:20" x14ac:dyDescent="0.35">
      <c r="A243">
        <v>241</v>
      </c>
      <c r="B243" s="4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6">
        <f t="shared" si="13"/>
        <v>101.91632047477745</v>
      </c>
      <c r="P243">
        <f t="shared" si="14"/>
        <v>101.97684085510689</v>
      </c>
      <c r="Q243" t="s">
        <v>2045</v>
      </c>
      <c r="R243" t="s">
        <v>2046</v>
      </c>
      <c r="S243" s="10">
        <f t="shared" si="16"/>
        <v>27186.320833333335</v>
      </c>
      <c r="T243" s="12">
        <f t="shared" si="15"/>
        <v>27187.320833333335</v>
      </c>
    </row>
    <row r="244" spans="1:20" x14ac:dyDescent="0.35">
      <c r="A244">
        <v>242</v>
      </c>
      <c r="B244" s="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6">
        <f t="shared" si="13"/>
        <v>127.72619047619047</v>
      </c>
      <c r="P244">
        <f t="shared" si="14"/>
        <v>42.915999999999997</v>
      </c>
      <c r="Q244" t="s">
        <v>2033</v>
      </c>
      <c r="R244" t="s">
        <v>2034</v>
      </c>
      <c r="S244" s="10">
        <f t="shared" si="16"/>
        <v>27298.620833333334</v>
      </c>
      <c r="T244" s="12">
        <f t="shared" si="15"/>
        <v>27299.620833333334</v>
      </c>
    </row>
    <row r="245" spans="1:20" ht="31" x14ac:dyDescent="0.35">
      <c r="A245">
        <v>243</v>
      </c>
      <c r="B245" s="4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6">
        <f t="shared" si="13"/>
        <v>445.21739130434781</v>
      </c>
      <c r="P245">
        <f t="shared" si="14"/>
        <v>43.025210084033617</v>
      </c>
      <c r="Q245" t="s">
        <v>2037</v>
      </c>
      <c r="R245" t="s">
        <v>2038</v>
      </c>
      <c r="S245" s="10">
        <f t="shared" si="16"/>
        <v>27328.424999999999</v>
      </c>
      <c r="T245" s="12">
        <f t="shared" si="15"/>
        <v>27328.724999999999</v>
      </c>
    </row>
    <row r="246" spans="1:20" ht="31" x14ac:dyDescent="0.35">
      <c r="A246">
        <v>244</v>
      </c>
      <c r="B246" s="4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6">
        <f t="shared" si="13"/>
        <v>569.71428571428578</v>
      </c>
      <c r="P246">
        <f t="shared" si="14"/>
        <v>75.245283018867923</v>
      </c>
      <c r="Q246" t="s">
        <v>2037</v>
      </c>
      <c r="R246" t="s">
        <v>2038</v>
      </c>
      <c r="S246" s="10">
        <f t="shared" si="16"/>
        <v>27195.520833333332</v>
      </c>
      <c r="T246" s="12">
        <f t="shared" si="15"/>
        <v>27200.720833333333</v>
      </c>
    </row>
    <row r="247" spans="1:20" x14ac:dyDescent="0.35">
      <c r="A247">
        <v>245</v>
      </c>
      <c r="B247" s="4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6">
        <f t="shared" si="13"/>
        <v>509.34482758620686</v>
      </c>
      <c r="P247">
        <f t="shared" si="14"/>
        <v>69.023364485981304</v>
      </c>
      <c r="Q247" t="s">
        <v>2037</v>
      </c>
      <c r="R247" t="s">
        <v>2038</v>
      </c>
      <c r="S247" s="10">
        <f t="shared" si="16"/>
        <v>27185.720833333333</v>
      </c>
      <c r="T247" s="12">
        <f t="shared" si="15"/>
        <v>27185.820833333335</v>
      </c>
    </row>
    <row r="248" spans="1:20" x14ac:dyDescent="0.35">
      <c r="A248">
        <v>246</v>
      </c>
      <c r="B248" s="4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6">
        <f t="shared" si="13"/>
        <v>325.5333333333333</v>
      </c>
      <c r="P248">
        <f t="shared" si="14"/>
        <v>65.986486486486484</v>
      </c>
      <c r="Q248" t="s">
        <v>2035</v>
      </c>
      <c r="R248" t="s">
        <v>2036</v>
      </c>
      <c r="S248" s="10">
        <f t="shared" si="16"/>
        <v>27161.220833333333</v>
      </c>
      <c r="T248" s="12">
        <f t="shared" si="15"/>
        <v>27161.620833333334</v>
      </c>
    </row>
    <row r="249" spans="1:20" x14ac:dyDescent="0.35">
      <c r="A249">
        <v>247</v>
      </c>
      <c r="B249" s="4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6">
        <f t="shared" si="13"/>
        <v>932.61616161616166</v>
      </c>
      <c r="P249">
        <f t="shared" si="14"/>
        <v>98.013800424628457</v>
      </c>
      <c r="Q249" t="s">
        <v>2045</v>
      </c>
      <c r="R249" t="s">
        <v>2051</v>
      </c>
      <c r="S249" s="10">
        <f t="shared" si="16"/>
        <v>27284.724999999999</v>
      </c>
      <c r="T249" s="12">
        <f t="shared" si="15"/>
        <v>27286.224999999999</v>
      </c>
    </row>
    <row r="250" spans="1:20" x14ac:dyDescent="0.35">
      <c r="A250">
        <v>248</v>
      </c>
      <c r="B250" s="4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6">
        <f t="shared" si="13"/>
        <v>211.33870967741933</v>
      </c>
      <c r="P250">
        <f t="shared" si="14"/>
        <v>60.105504587155963</v>
      </c>
      <c r="Q250" t="s">
        <v>2048</v>
      </c>
      <c r="R250" t="s">
        <v>2059</v>
      </c>
      <c r="S250" s="10">
        <f t="shared" si="16"/>
        <v>27212.525000000001</v>
      </c>
      <c r="T250" s="12">
        <f t="shared" si="15"/>
        <v>27213.025000000001</v>
      </c>
    </row>
    <row r="251" spans="1:20" x14ac:dyDescent="0.35">
      <c r="A251">
        <v>249</v>
      </c>
      <c r="B251" s="4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6">
        <f t="shared" si="13"/>
        <v>273.32520325203251</v>
      </c>
      <c r="P251">
        <f t="shared" si="14"/>
        <v>26.000773395204948</v>
      </c>
      <c r="Q251" t="s">
        <v>2045</v>
      </c>
      <c r="R251" t="s">
        <v>2057</v>
      </c>
      <c r="S251" s="10">
        <f t="shared" si="16"/>
        <v>27212.724999999999</v>
      </c>
      <c r="T251" s="12">
        <f t="shared" si="15"/>
        <v>27213.424999999999</v>
      </c>
    </row>
    <row r="252" spans="1:20" x14ac:dyDescent="0.35">
      <c r="A252">
        <v>250</v>
      </c>
      <c r="B252" s="4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6">
        <f t="shared" si="13"/>
        <v>3</v>
      </c>
      <c r="P252">
        <f t="shared" si="14"/>
        <v>3</v>
      </c>
      <c r="Q252" t="s">
        <v>2033</v>
      </c>
      <c r="R252" t="s">
        <v>2034</v>
      </c>
      <c r="S252" s="10">
        <f t="shared" si="16"/>
        <v>27032.424999999999</v>
      </c>
      <c r="T252" s="12">
        <f t="shared" si="15"/>
        <v>27035.924999999999</v>
      </c>
    </row>
    <row r="253" spans="1:20" x14ac:dyDescent="0.35">
      <c r="A253">
        <v>251</v>
      </c>
      <c r="B253" s="4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6">
        <f t="shared" si="13"/>
        <v>54.084507042253513</v>
      </c>
      <c r="P253">
        <f t="shared" si="14"/>
        <v>38.019801980198018</v>
      </c>
      <c r="Q253" t="s">
        <v>2037</v>
      </c>
      <c r="R253" t="s">
        <v>2038</v>
      </c>
      <c r="S253" s="10">
        <f t="shared" si="16"/>
        <v>27137.325000000001</v>
      </c>
      <c r="T253" s="12">
        <f t="shared" si="15"/>
        <v>27137.525000000001</v>
      </c>
    </row>
    <row r="254" spans="1:20" ht="31" x14ac:dyDescent="0.35">
      <c r="A254">
        <v>252</v>
      </c>
      <c r="B254" s="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6">
        <f t="shared" si="13"/>
        <v>626.29999999999995</v>
      </c>
      <c r="P254">
        <f t="shared" si="14"/>
        <v>106.15254237288136</v>
      </c>
      <c r="Q254" t="s">
        <v>2037</v>
      </c>
      <c r="R254" t="s">
        <v>2038</v>
      </c>
      <c r="S254" s="10">
        <f t="shared" si="16"/>
        <v>27169.320833333335</v>
      </c>
      <c r="T254" s="12">
        <f t="shared" si="15"/>
        <v>27169.820833333335</v>
      </c>
    </row>
    <row r="255" spans="1:20" x14ac:dyDescent="0.35">
      <c r="A255">
        <v>253</v>
      </c>
      <c r="B255" s="4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6">
        <f t="shared" si="13"/>
        <v>89.021399176954731</v>
      </c>
      <c r="P255">
        <f t="shared" si="14"/>
        <v>81.019475655430711</v>
      </c>
      <c r="Q255" t="s">
        <v>2039</v>
      </c>
      <c r="R255" t="s">
        <v>2042</v>
      </c>
      <c r="S255" s="10">
        <f t="shared" si="16"/>
        <v>27076.220833333333</v>
      </c>
      <c r="T255" s="12">
        <f t="shared" si="15"/>
        <v>27077.420833333334</v>
      </c>
    </row>
    <row r="256" spans="1:20" ht="31" x14ac:dyDescent="0.35">
      <c r="A256">
        <v>254</v>
      </c>
      <c r="B256" s="4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6">
        <f t="shared" si="13"/>
        <v>184.89130434782609</v>
      </c>
      <c r="P256">
        <f t="shared" si="14"/>
        <v>96.647727272727266</v>
      </c>
      <c r="Q256" t="s">
        <v>2045</v>
      </c>
      <c r="R256" t="s">
        <v>2046</v>
      </c>
      <c r="S256" s="10">
        <f t="shared" si="16"/>
        <v>27290.825000000001</v>
      </c>
      <c r="T256" s="12">
        <f t="shared" si="15"/>
        <v>27291.025000000001</v>
      </c>
    </row>
    <row r="257" spans="1:20" ht="31" x14ac:dyDescent="0.35">
      <c r="A257">
        <v>255</v>
      </c>
      <c r="B257" s="4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6">
        <f t="shared" si="13"/>
        <v>120.16770186335404</v>
      </c>
      <c r="P257">
        <f t="shared" si="14"/>
        <v>57.003535651149086</v>
      </c>
      <c r="Q257" t="s">
        <v>2033</v>
      </c>
      <c r="R257" t="s">
        <v>2034</v>
      </c>
      <c r="S257" s="10">
        <f t="shared" si="16"/>
        <v>27071.125</v>
      </c>
      <c r="T257" s="12">
        <f t="shared" si="15"/>
        <v>27071.625</v>
      </c>
    </row>
    <row r="258" spans="1:20" x14ac:dyDescent="0.35">
      <c r="A258">
        <v>256</v>
      </c>
      <c r="B258" s="4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6">
        <f t="shared" si="13"/>
        <v>23.390243902439025</v>
      </c>
      <c r="P258">
        <f t="shared" si="14"/>
        <v>63.93333333333333</v>
      </c>
      <c r="Q258" t="s">
        <v>2033</v>
      </c>
      <c r="R258" t="s">
        <v>2034</v>
      </c>
      <c r="S258" s="10">
        <f t="shared" si="16"/>
        <v>27251.424999999999</v>
      </c>
      <c r="T258" s="12">
        <f t="shared" si="15"/>
        <v>27255.125</v>
      </c>
    </row>
    <row r="259" spans="1:20" x14ac:dyDescent="0.35">
      <c r="A259">
        <v>257</v>
      </c>
      <c r="B259" s="4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6">
        <f t="shared" ref="O259:O322" si="17">MAX(0,(E259/D259)*100)</f>
        <v>146</v>
      </c>
      <c r="P259">
        <f t="shared" ref="P259:P322" si="18">IFERROR(AVERAGE(E259/G259),0)</f>
        <v>90.456521739130437</v>
      </c>
      <c r="Q259" t="s">
        <v>2037</v>
      </c>
      <c r="R259" t="s">
        <v>2038</v>
      </c>
      <c r="S259" s="10">
        <f t="shared" si="16"/>
        <v>27145.924999999999</v>
      </c>
      <c r="T259" s="12">
        <f t="shared" ref="T259:T322" si="19">K259/864000+DATE(1970,1,1)</f>
        <v>27147.320833333335</v>
      </c>
    </row>
    <row r="260" spans="1:20" x14ac:dyDescent="0.35">
      <c r="A260">
        <v>258</v>
      </c>
      <c r="B260" s="4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6">
        <f t="shared" si="17"/>
        <v>268.48</v>
      </c>
      <c r="P260">
        <f t="shared" si="18"/>
        <v>72.172043010752688</v>
      </c>
      <c r="Q260" t="s">
        <v>2037</v>
      </c>
      <c r="R260" t="s">
        <v>2038</v>
      </c>
      <c r="S260" s="10">
        <f t="shared" si="16"/>
        <v>27283.325000000001</v>
      </c>
      <c r="T260" s="12">
        <f t="shared" si="19"/>
        <v>27285.325000000001</v>
      </c>
    </row>
    <row r="261" spans="1:20" ht="31" x14ac:dyDescent="0.35">
      <c r="A261">
        <v>259</v>
      </c>
      <c r="B261" s="4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6">
        <f t="shared" si="17"/>
        <v>597.5</v>
      </c>
      <c r="P261">
        <f t="shared" si="18"/>
        <v>77.934782608695656</v>
      </c>
      <c r="Q261" t="s">
        <v>2052</v>
      </c>
      <c r="R261" t="s">
        <v>2053</v>
      </c>
      <c r="S261" s="10">
        <f t="shared" si="16"/>
        <v>27137.224999999999</v>
      </c>
      <c r="T261" s="12">
        <f t="shared" si="19"/>
        <v>27139.125</v>
      </c>
    </row>
    <row r="262" spans="1:20" x14ac:dyDescent="0.35">
      <c r="A262">
        <v>260</v>
      </c>
      <c r="B262" s="4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6">
        <f t="shared" si="17"/>
        <v>157.69841269841268</v>
      </c>
      <c r="P262">
        <f t="shared" si="18"/>
        <v>38.065134099616856</v>
      </c>
      <c r="Q262" t="s">
        <v>2033</v>
      </c>
      <c r="R262" t="s">
        <v>2034</v>
      </c>
      <c r="S262" s="10">
        <f t="shared" si="16"/>
        <v>27130.120833333334</v>
      </c>
      <c r="T262" s="12">
        <f t="shared" si="19"/>
        <v>27131.320833333335</v>
      </c>
    </row>
    <row r="263" spans="1:20" ht="31" x14ac:dyDescent="0.35">
      <c r="A263">
        <v>261</v>
      </c>
      <c r="B263" s="4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6">
        <f t="shared" si="17"/>
        <v>31.201660735468568</v>
      </c>
      <c r="P263">
        <f t="shared" si="18"/>
        <v>57.936123348017624</v>
      </c>
      <c r="Q263" t="s">
        <v>2033</v>
      </c>
      <c r="R263" t="s">
        <v>2034</v>
      </c>
      <c r="S263" s="10">
        <f t="shared" si="16"/>
        <v>27053.620833333334</v>
      </c>
      <c r="T263" s="12">
        <f t="shared" si="19"/>
        <v>27054.020833333332</v>
      </c>
    </row>
    <row r="264" spans="1:20" x14ac:dyDescent="0.35">
      <c r="A264">
        <v>262</v>
      </c>
      <c r="B264" s="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6">
        <f t="shared" si="17"/>
        <v>313.41176470588238</v>
      </c>
      <c r="P264">
        <f t="shared" si="18"/>
        <v>49.794392523364486</v>
      </c>
      <c r="Q264" t="s">
        <v>2033</v>
      </c>
      <c r="R264" t="s">
        <v>2043</v>
      </c>
      <c r="S264" s="10">
        <f t="shared" si="16"/>
        <v>27075.920833333334</v>
      </c>
      <c r="T264" s="12">
        <f t="shared" si="19"/>
        <v>27078.520833333332</v>
      </c>
    </row>
    <row r="265" spans="1:20" x14ac:dyDescent="0.35">
      <c r="A265">
        <v>263</v>
      </c>
      <c r="B265" s="4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6">
        <f t="shared" si="17"/>
        <v>370.89655172413791</v>
      </c>
      <c r="P265">
        <f t="shared" si="18"/>
        <v>54.050251256281406</v>
      </c>
      <c r="Q265" t="s">
        <v>2052</v>
      </c>
      <c r="R265" t="s">
        <v>2053</v>
      </c>
      <c r="S265" s="10">
        <f t="shared" si="16"/>
        <v>27030.825000000001</v>
      </c>
      <c r="T265" s="12">
        <f t="shared" si="19"/>
        <v>27030.825000000001</v>
      </c>
    </row>
    <row r="266" spans="1:20" x14ac:dyDescent="0.35">
      <c r="A266">
        <v>264</v>
      </c>
      <c r="B266" s="4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6">
        <f t="shared" si="17"/>
        <v>362.66447368421052</v>
      </c>
      <c r="P266">
        <f t="shared" si="18"/>
        <v>30.002721335268504</v>
      </c>
      <c r="Q266" t="s">
        <v>2037</v>
      </c>
      <c r="R266" t="s">
        <v>2038</v>
      </c>
      <c r="S266" s="10">
        <f t="shared" si="16"/>
        <v>27143.825000000001</v>
      </c>
      <c r="T266" s="12">
        <f t="shared" si="19"/>
        <v>27145.424999999999</v>
      </c>
    </row>
    <row r="267" spans="1:20" x14ac:dyDescent="0.35">
      <c r="A267">
        <v>265</v>
      </c>
      <c r="B267" s="4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6">
        <f t="shared" si="17"/>
        <v>123.08163265306122</v>
      </c>
      <c r="P267">
        <f t="shared" si="18"/>
        <v>70.127906976744185</v>
      </c>
      <c r="Q267" t="s">
        <v>2037</v>
      </c>
      <c r="R267" t="s">
        <v>2038</v>
      </c>
      <c r="S267" s="10">
        <f t="shared" si="16"/>
        <v>27249.325000000001</v>
      </c>
      <c r="T267" s="12">
        <f t="shared" si="19"/>
        <v>27253.724999999999</v>
      </c>
    </row>
    <row r="268" spans="1:20" x14ac:dyDescent="0.35">
      <c r="A268">
        <v>266</v>
      </c>
      <c r="B268" s="4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6">
        <f t="shared" si="17"/>
        <v>76.766756032171585</v>
      </c>
      <c r="P268">
        <f t="shared" si="18"/>
        <v>26.996228786926462</v>
      </c>
      <c r="Q268" t="s">
        <v>2033</v>
      </c>
      <c r="R268" t="s">
        <v>2056</v>
      </c>
      <c r="S268" s="10">
        <f t="shared" si="16"/>
        <v>27207.125</v>
      </c>
      <c r="T268" s="12">
        <f t="shared" si="19"/>
        <v>27210.424999999999</v>
      </c>
    </row>
    <row r="269" spans="1:20" x14ac:dyDescent="0.35">
      <c r="A269">
        <v>267</v>
      </c>
      <c r="B269" s="4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6">
        <f t="shared" si="17"/>
        <v>233.62012987012989</v>
      </c>
      <c r="P269">
        <f t="shared" si="18"/>
        <v>51.990606936416185</v>
      </c>
      <c r="Q269" t="s">
        <v>2037</v>
      </c>
      <c r="R269" t="s">
        <v>2038</v>
      </c>
      <c r="S269" s="10">
        <f t="shared" ref="S269:S332" si="20">J:J/864000+DATE(1970,1,1)</f>
        <v>27132.720833333333</v>
      </c>
      <c r="T269" s="12">
        <f t="shared" si="19"/>
        <v>27134.325000000001</v>
      </c>
    </row>
    <row r="270" spans="1:20" x14ac:dyDescent="0.35">
      <c r="A270">
        <v>268</v>
      </c>
      <c r="B270" s="4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6">
        <f t="shared" si="17"/>
        <v>180.53333333333333</v>
      </c>
      <c r="P270">
        <f t="shared" si="18"/>
        <v>56.416666666666664</v>
      </c>
      <c r="Q270" t="s">
        <v>2039</v>
      </c>
      <c r="R270" t="s">
        <v>2040</v>
      </c>
      <c r="S270" s="10">
        <f t="shared" si="20"/>
        <v>27130.720833333333</v>
      </c>
      <c r="T270" s="12">
        <f t="shared" si="19"/>
        <v>27135.325000000001</v>
      </c>
    </row>
    <row r="271" spans="1:20" x14ac:dyDescent="0.35">
      <c r="A271">
        <v>269</v>
      </c>
      <c r="B271" s="4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6">
        <f t="shared" si="17"/>
        <v>252.62857142857143</v>
      </c>
      <c r="P271">
        <f t="shared" si="18"/>
        <v>101.63218390804597</v>
      </c>
      <c r="Q271" t="s">
        <v>2039</v>
      </c>
      <c r="R271" t="s">
        <v>2058</v>
      </c>
      <c r="S271" s="10">
        <f t="shared" si="20"/>
        <v>27361.724999999999</v>
      </c>
      <c r="T271" s="12">
        <f t="shared" si="19"/>
        <v>27363.825000000001</v>
      </c>
    </row>
    <row r="272" spans="1:20" x14ac:dyDescent="0.35">
      <c r="A272">
        <v>270</v>
      </c>
      <c r="B272" s="4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6">
        <f t="shared" si="17"/>
        <v>27.176538240368025</v>
      </c>
      <c r="P272">
        <f t="shared" si="18"/>
        <v>25.005291005291006</v>
      </c>
      <c r="Q272" t="s">
        <v>2048</v>
      </c>
      <c r="R272" t="s">
        <v>2049</v>
      </c>
      <c r="S272" s="10">
        <f t="shared" si="20"/>
        <v>27063.525000000001</v>
      </c>
      <c r="T272" s="12">
        <f t="shared" si="19"/>
        <v>27063.724999999999</v>
      </c>
    </row>
    <row r="273" spans="1:20" ht="31" x14ac:dyDescent="0.35">
      <c r="A273">
        <v>271</v>
      </c>
      <c r="B273" s="4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6">
        <f t="shared" si="17"/>
        <v>1.2706571242680547</v>
      </c>
      <c r="P273">
        <f t="shared" si="18"/>
        <v>32.016393442622949</v>
      </c>
      <c r="Q273" t="s">
        <v>2052</v>
      </c>
      <c r="R273" t="s">
        <v>2053</v>
      </c>
      <c r="S273" s="10">
        <f t="shared" si="20"/>
        <v>27246.625</v>
      </c>
      <c r="T273" s="12">
        <f t="shared" si="19"/>
        <v>27249.724999999999</v>
      </c>
    </row>
    <row r="274" spans="1:20" x14ac:dyDescent="0.35">
      <c r="A274">
        <v>272</v>
      </c>
      <c r="B274" s="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6">
        <f t="shared" si="17"/>
        <v>304.0097847358121</v>
      </c>
      <c r="P274">
        <f t="shared" si="18"/>
        <v>82.021647307286173</v>
      </c>
      <c r="Q274" t="s">
        <v>2037</v>
      </c>
      <c r="R274" t="s">
        <v>2038</v>
      </c>
      <c r="S274" s="10">
        <f t="shared" si="20"/>
        <v>27377.720833333333</v>
      </c>
      <c r="T274" s="12">
        <f t="shared" si="19"/>
        <v>27380.220833333333</v>
      </c>
    </row>
    <row r="275" spans="1:20" x14ac:dyDescent="0.35">
      <c r="A275">
        <v>273</v>
      </c>
      <c r="B275" s="4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6">
        <f t="shared" si="17"/>
        <v>137.23076923076923</v>
      </c>
      <c r="P275">
        <f t="shared" si="18"/>
        <v>37.957446808510639</v>
      </c>
      <c r="Q275" t="s">
        <v>2037</v>
      </c>
      <c r="R275" t="s">
        <v>2038</v>
      </c>
      <c r="S275" s="10">
        <f t="shared" si="20"/>
        <v>27311.620833333334</v>
      </c>
      <c r="T275" s="12">
        <f t="shared" si="19"/>
        <v>27311.920833333334</v>
      </c>
    </row>
    <row r="276" spans="1:20" ht="31" x14ac:dyDescent="0.35">
      <c r="A276">
        <v>274</v>
      </c>
      <c r="B276" s="4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6">
        <f t="shared" si="17"/>
        <v>32.208333333333336</v>
      </c>
      <c r="P276">
        <f t="shared" si="18"/>
        <v>51.533333333333331</v>
      </c>
      <c r="Q276" t="s">
        <v>2037</v>
      </c>
      <c r="R276" t="s">
        <v>2038</v>
      </c>
      <c r="S276" s="10">
        <f t="shared" si="20"/>
        <v>27316.625</v>
      </c>
      <c r="T276" s="12">
        <f t="shared" si="19"/>
        <v>27317.125</v>
      </c>
    </row>
    <row r="277" spans="1:20" ht="31" x14ac:dyDescent="0.35">
      <c r="A277">
        <v>275</v>
      </c>
      <c r="B277" s="4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6">
        <f t="shared" si="17"/>
        <v>241.51282051282053</v>
      </c>
      <c r="P277">
        <f t="shared" si="18"/>
        <v>81.198275862068968</v>
      </c>
      <c r="Q277" t="s">
        <v>2045</v>
      </c>
      <c r="R277" t="s">
        <v>2057</v>
      </c>
      <c r="S277" s="10">
        <f t="shared" si="20"/>
        <v>27368.220833333333</v>
      </c>
      <c r="T277" s="12">
        <f t="shared" si="19"/>
        <v>27369.020833333332</v>
      </c>
    </row>
    <row r="278" spans="1:20" x14ac:dyDescent="0.35">
      <c r="A278">
        <v>276</v>
      </c>
      <c r="B278" s="4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6">
        <f t="shared" si="17"/>
        <v>96.8</v>
      </c>
      <c r="P278">
        <f t="shared" si="18"/>
        <v>40.030075187969928</v>
      </c>
      <c r="Q278" t="s">
        <v>2048</v>
      </c>
      <c r="R278" t="s">
        <v>2049</v>
      </c>
      <c r="S278" s="10">
        <f t="shared" si="20"/>
        <v>27113.920833333334</v>
      </c>
      <c r="T278" s="12">
        <f t="shared" si="19"/>
        <v>27114.420833333334</v>
      </c>
    </row>
    <row r="279" spans="1:20" ht="31" x14ac:dyDescent="0.35">
      <c r="A279">
        <v>277</v>
      </c>
      <c r="B279" s="4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6">
        <f t="shared" si="17"/>
        <v>1066.4285714285716</v>
      </c>
      <c r="P279">
        <f t="shared" si="18"/>
        <v>89.939759036144579</v>
      </c>
      <c r="Q279" t="s">
        <v>2037</v>
      </c>
      <c r="R279" t="s">
        <v>2038</v>
      </c>
      <c r="S279" s="10">
        <f t="shared" si="20"/>
        <v>27049.920833333334</v>
      </c>
      <c r="T279" s="12">
        <f t="shared" si="19"/>
        <v>27050.120833333334</v>
      </c>
    </row>
    <row r="280" spans="1:20" x14ac:dyDescent="0.35">
      <c r="A280">
        <v>278</v>
      </c>
      <c r="B280" s="4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6">
        <f t="shared" si="17"/>
        <v>325.88888888888891</v>
      </c>
      <c r="P280">
        <f t="shared" si="18"/>
        <v>96.692307692307693</v>
      </c>
      <c r="Q280" t="s">
        <v>2035</v>
      </c>
      <c r="R280" t="s">
        <v>2036</v>
      </c>
      <c r="S280" s="10">
        <f t="shared" si="20"/>
        <v>27136.025000000001</v>
      </c>
      <c r="T280" s="12">
        <f t="shared" si="19"/>
        <v>27138.525000000001</v>
      </c>
    </row>
    <row r="281" spans="1:20" x14ac:dyDescent="0.35">
      <c r="A281">
        <v>279</v>
      </c>
      <c r="B281" s="4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6">
        <f t="shared" si="17"/>
        <v>170.70000000000002</v>
      </c>
      <c r="P281">
        <f t="shared" si="18"/>
        <v>25.010989010989011</v>
      </c>
      <c r="Q281" t="s">
        <v>2037</v>
      </c>
      <c r="R281" t="s">
        <v>2038</v>
      </c>
      <c r="S281" s="10">
        <f t="shared" si="20"/>
        <v>27346.720833333333</v>
      </c>
      <c r="T281" s="12">
        <f t="shared" si="19"/>
        <v>27347.020833333332</v>
      </c>
    </row>
    <row r="282" spans="1:20" ht="31" x14ac:dyDescent="0.35">
      <c r="A282">
        <v>280</v>
      </c>
      <c r="B282" s="4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6">
        <f t="shared" si="17"/>
        <v>581.44000000000005</v>
      </c>
      <c r="P282">
        <f t="shared" si="18"/>
        <v>36.987277353689571</v>
      </c>
      <c r="Q282" t="s">
        <v>2039</v>
      </c>
      <c r="R282" t="s">
        <v>2047</v>
      </c>
      <c r="S282" s="10">
        <f t="shared" si="20"/>
        <v>27318.125</v>
      </c>
      <c r="T282" s="12">
        <f t="shared" si="19"/>
        <v>27318.724999999999</v>
      </c>
    </row>
    <row r="283" spans="1:20" x14ac:dyDescent="0.35">
      <c r="A283">
        <v>281</v>
      </c>
      <c r="B283" s="4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6">
        <f t="shared" si="17"/>
        <v>91.520972644376897</v>
      </c>
      <c r="P283">
        <f t="shared" si="18"/>
        <v>73.012609117361791</v>
      </c>
      <c r="Q283" t="s">
        <v>2037</v>
      </c>
      <c r="R283" t="s">
        <v>2038</v>
      </c>
      <c r="S283" s="10">
        <f t="shared" si="20"/>
        <v>27110.025000000001</v>
      </c>
      <c r="T283" s="12">
        <f t="shared" si="19"/>
        <v>27112.120833333334</v>
      </c>
    </row>
    <row r="284" spans="1:20" x14ac:dyDescent="0.35">
      <c r="A284">
        <v>282</v>
      </c>
      <c r="B284" s="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6">
        <f t="shared" si="17"/>
        <v>108.04761904761904</v>
      </c>
      <c r="P284">
        <f t="shared" si="18"/>
        <v>68.240601503759393</v>
      </c>
      <c r="Q284" t="s">
        <v>2039</v>
      </c>
      <c r="R284" t="s">
        <v>2058</v>
      </c>
      <c r="S284" s="10">
        <f t="shared" si="20"/>
        <v>27282.224999999999</v>
      </c>
      <c r="T284" s="12">
        <f t="shared" si="19"/>
        <v>27282.825000000001</v>
      </c>
    </row>
    <row r="285" spans="1:20" ht="31" x14ac:dyDescent="0.35">
      <c r="A285">
        <v>283</v>
      </c>
      <c r="B285" s="4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6">
        <f t="shared" si="17"/>
        <v>18.728395061728396</v>
      </c>
      <c r="P285">
        <f t="shared" si="18"/>
        <v>52.310344827586206</v>
      </c>
      <c r="Q285" t="s">
        <v>2033</v>
      </c>
      <c r="R285" t="s">
        <v>2034</v>
      </c>
      <c r="S285" s="10">
        <f t="shared" si="20"/>
        <v>27264.120833333334</v>
      </c>
      <c r="T285" s="12">
        <f t="shared" si="19"/>
        <v>27264.620833333334</v>
      </c>
    </row>
    <row r="286" spans="1:20" x14ac:dyDescent="0.35">
      <c r="A286">
        <v>284</v>
      </c>
      <c r="B286" s="4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6">
        <f t="shared" si="17"/>
        <v>83.193877551020407</v>
      </c>
      <c r="P286">
        <f t="shared" si="18"/>
        <v>61.765151515151516</v>
      </c>
      <c r="Q286" t="s">
        <v>2035</v>
      </c>
      <c r="R286" t="s">
        <v>2036</v>
      </c>
      <c r="S286" s="10">
        <f t="shared" si="20"/>
        <v>27115.120833333334</v>
      </c>
      <c r="T286" s="12">
        <f t="shared" si="19"/>
        <v>27115.620833333334</v>
      </c>
    </row>
    <row r="287" spans="1:20" x14ac:dyDescent="0.35">
      <c r="A287">
        <v>285</v>
      </c>
      <c r="B287" s="4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6">
        <f t="shared" si="17"/>
        <v>706.33333333333337</v>
      </c>
      <c r="P287">
        <f t="shared" si="18"/>
        <v>25.027559055118111</v>
      </c>
      <c r="Q287" t="s">
        <v>2037</v>
      </c>
      <c r="R287" t="s">
        <v>2038</v>
      </c>
      <c r="S287" s="10">
        <f t="shared" si="20"/>
        <v>27274.420833333334</v>
      </c>
      <c r="T287" s="12">
        <f t="shared" si="19"/>
        <v>27278.220833333333</v>
      </c>
    </row>
    <row r="288" spans="1:20" x14ac:dyDescent="0.35">
      <c r="A288">
        <v>286</v>
      </c>
      <c r="B288" s="4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6">
        <f t="shared" si="17"/>
        <v>17.446030330062445</v>
      </c>
      <c r="P288">
        <f t="shared" si="18"/>
        <v>106.28804347826087</v>
      </c>
      <c r="Q288" t="s">
        <v>2037</v>
      </c>
      <c r="R288" t="s">
        <v>2038</v>
      </c>
      <c r="S288" s="10">
        <f t="shared" si="20"/>
        <v>27281.825000000001</v>
      </c>
      <c r="T288" s="12">
        <f t="shared" si="19"/>
        <v>27282.525000000001</v>
      </c>
    </row>
    <row r="289" spans="1:20" x14ac:dyDescent="0.35">
      <c r="A289">
        <v>287</v>
      </c>
      <c r="B289" s="4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6">
        <f t="shared" si="17"/>
        <v>209.73015873015873</v>
      </c>
      <c r="P289">
        <f t="shared" si="18"/>
        <v>75.07386363636364</v>
      </c>
      <c r="Q289" t="s">
        <v>2033</v>
      </c>
      <c r="R289" t="s">
        <v>2041</v>
      </c>
      <c r="S289" s="10">
        <f t="shared" si="20"/>
        <v>27224.320833333335</v>
      </c>
      <c r="T289" s="12">
        <f t="shared" si="19"/>
        <v>27224.320833333335</v>
      </c>
    </row>
    <row r="290" spans="1:20" x14ac:dyDescent="0.35">
      <c r="A290">
        <v>288</v>
      </c>
      <c r="B290" s="4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6">
        <f t="shared" si="17"/>
        <v>97.785714285714292</v>
      </c>
      <c r="P290">
        <f t="shared" si="18"/>
        <v>39.970802919708028</v>
      </c>
      <c r="Q290" t="s">
        <v>2033</v>
      </c>
      <c r="R290" t="s">
        <v>2055</v>
      </c>
      <c r="S290" s="10">
        <f t="shared" si="20"/>
        <v>27110.320833333335</v>
      </c>
      <c r="T290" s="12">
        <f t="shared" si="19"/>
        <v>27110.420833333334</v>
      </c>
    </row>
    <row r="291" spans="1:20" x14ac:dyDescent="0.35">
      <c r="A291">
        <v>289</v>
      </c>
      <c r="B291" s="4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6">
        <f t="shared" si="17"/>
        <v>1684.25</v>
      </c>
      <c r="P291">
        <f t="shared" si="18"/>
        <v>39.982195845697326</v>
      </c>
      <c r="Q291" t="s">
        <v>2037</v>
      </c>
      <c r="R291" t="s">
        <v>2038</v>
      </c>
      <c r="S291" s="10">
        <f t="shared" si="20"/>
        <v>27234.020833333332</v>
      </c>
      <c r="T291" s="12">
        <f t="shared" si="19"/>
        <v>27234.320833333335</v>
      </c>
    </row>
    <row r="292" spans="1:20" x14ac:dyDescent="0.35">
      <c r="A292">
        <v>290</v>
      </c>
      <c r="B292" s="4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6">
        <f t="shared" si="17"/>
        <v>54.402135231316727</v>
      </c>
      <c r="P292">
        <f t="shared" si="18"/>
        <v>101.01541850220265</v>
      </c>
      <c r="Q292" t="s">
        <v>2039</v>
      </c>
      <c r="R292" t="s">
        <v>2040</v>
      </c>
      <c r="S292" s="10">
        <f t="shared" si="20"/>
        <v>27152.520833333332</v>
      </c>
      <c r="T292" s="12">
        <f t="shared" si="19"/>
        <v>27155.720833333333</v>
      </c>
    </row>
    <row r="293" spans="1:20" x14ac:dyDescent="0.35">
      <c r="A293">
        <v>291</v>
      </c>
      <c r="B293" s="4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6">
        <f t="shared" si="17"/>
        <v>456.61111111111109</v>
      </c>
      <c r="P293">
        <f t="shared" si="18"/>
        <v>76.813084112149539</v>
      </c>
      <c r="Q293" t="s">
        <v>2035</v>
      </c>
      <c r="R293" t="s">
        <v>2036</v>
      </c>
      <c r="S293" s="10">
        <f t="shared" si="20"/>
        <v>27095.220833333333</v>
      </c>
      <c r="T293" s="12">
        <f t="shared" si="19"/>
        <v>27095.620833333334</v>
      </c>
    </row>
    <row r="294" spans="1:20" x14ac:dyDescent="0.35">
      <c r="A294">
        <v>292</v>
      </c>
      <c r="B294" s="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6">
        <f t="shared" si="17"/>
        <v>9.8219178082191778</v>
      </c>
      <c r="P294">
        <f t="shared" si="18"/>
        <v>71.7</v>
      </c>
      <c r="Q294" t="s">
        <v>2031</v>
      </c>
      <c r="R294" t="s">
        <v>2032</v>
      </c>
      <c r="S294" s="10">
        <f t="shared" si="20"/>
        <v>27110.520833333332</v>
      </c>
      <c r="T294" s="12">
        <f t="shared" si="19"/>
        <v>27112.320833333335</v>
      </c>
    </row>
    <row r="295" spans="1:20" x14ac:dyDescent="0.35">
      <c r="A295">
        <v>293</v>
      </c>
      <c r="B295" s="4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6">
        <f t="shared" si="17"/>
        <v>16.384615384615383</v>
      </c>
      <c r="P295">
        <f t="shared" si="18"/>
        <v>33.28125</v>
      </c>
      <c r="Q295" t="s">
        <v>2037</v>
      </c>
      <c r="R295" t="s">
        <v>2038</v>
      </c>
      <c r="S295" s="10">
        <f t="shared" si="20"/>
        <v>27057.720833333333</v>
      </c>
      <c r="T295" s="12">
        <f t="shared" si="19"/>
        <v>27058.620833333334</v>
      </c>
    </row>
    <row r="296" spans="1:20" x14ac:dyDescent="0.35">
      <c r="A296">
        <v>294</v>
      </c>
      <c r="B296" s="4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6">
        <f t="shared" si="17"/>
        <v>1339.6666666666667</v>
      </c>
      <c r="P296">
        <f t="shared" si="18"/>
        <v>43.923497267759565</v>
      </c>
      <c r="Q296" t="s">
        <v>2037</v>
      </c>
      <c r="R296" t="s">
        <v>2038</v>
      </c>
      <c r="S296" s="10">
        <f t="shared" si="20"/>
        <v>27352.020833333332</v>
      </c>
      <c r="T296" s="12">
        <f t="shared" si="19"/>
        <v>27353.224999999999</v>
      </c>
    </row>
    <row r="297" spans="1:20" ht="31" x14ac:dyDescent="0.35">
      <c r="A297">
        <v>295</v>
      </c>
      <c r="B297" s="4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6">
        <f t="shared" si="17"/>
        <v>35.650077760497666</v>
      </c>
      <c r="P297">
        <f t="shared" si="18"/>
        <v>36.004712041884815</v>
      </c>
      <c r="Q297" t="s">
        <v>2037</v>
      </c>
      <c r="R297" t="s">
        <v>2038</v>
      </c>
      <c r="S297" s="10">
        <f t="shared" si="20"/>
        <v>27168.320833333335</v>
      </c>
      <c r="T297" s="12">
        <f t="shared" si="19"/>
        <v>27170.825000000001</v>
      </c>
    </row>
    <row r="298" spans="1:20" ht="31" x14ac:dyDescent="0.35">
      <c r="A298">
        <v>296</v>
      </c>
      <c r="B298" s="4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6">
        <f t="shared" si="17"/>
        <v>54.950819672131146</v>
      </c>
      <c r="P298">
        <f t="shared" si="18"/>
        <v>88.21052631578948</v>
      </c>
      <c r="Q298" t="s">
        <v>2037</v>
      </c>
      <c r="R298" t="s">
        <v>2038</v>
      </c>
      <c r="S298" s="10">
        <f t="shared" si="20"/>
        <v>27361.424999999999</v>
      </c>
      <c r="T298" s="12">
        <f t="shared" si="19"/>
        <v>27363.625</v>
      </c>
    </row>
    <row r="299" spans="1:20" x14ac:dyDescent="0.35">
      <c r="A299">
        <v>297</v>
      </c>
      <c r="B299" s="4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6">
        <f t="shared" si="17"/>
        <v>94.236111111111114</v>
      </c>
      <c r="P299">
        <f t="shared" si="18"/>
        <v>65.240384615384613</v>
      </c>
      <c r="Q299" t="s">
        <v>2037</v>
      </c>
      <c r="R299" t="s">
        <v>2038</v>
      </c>
      <c r="S299" s="10">
        <f t="shared" si="20"/>
        <v>27177.424999999999</v>
      </c>
      <c r="T299" s="12">
        <f t="shared" si="19"/>
        <v>27178.325000000001</v>
      </c>
    </row>
    <row r="300" spans="1:20" x14ac:dyDescent="0.35">
      <c r="A300">
        <v>298</v>
      </c>
      <c r="B300" s="4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6">
        <f t="shared" si="17"/>
        <v>143.91428571428571</v>
      </c>
      <c r="P300">
        <f t="shared" si="18"/>
        <v>69.958333333333329</v>
      </c>
      <c r="Q300" t="s">
        <v>2033</v>
      </c>
      <c r="R300" t="s">
        <v>2034</v>
      </c>
      <c r="S300" s="10">
        <f t="shared" si="20"/>
        <v>27254.724999999999</v>
      </c>
      <c r="T300" s="12">
        <f t="shared" si="19"/>
        <v>27256.520833333332</v>
      </c>
    </row>
    <row r="301" spans="1:20" ht="31" x14ac:dyDescent="0.35">
      <c r="A301">
        <v>299</v>
      </c>
      <c r="B301" s="4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6">
        <f t="shared" si="17"/>
        <v>51.421052631578945</v>
      </c>
      <c r="P301">
        <f t="shared" si="18"/>
        <v>39.877551020408163</v>
      </c>
      <c r="Q301" t="s">
        <v>2031</v>
      </c>
      <c r="R301" t="s">
        <v>2032</v>
      </c>
      <c r="S301" s="10">
        <f t="shared" si="20"/>
        <v>27255.325000000001</v>
      </c>
      <c r="T301" s="12">
        <f t="shared" si="19"/>
        <v>27260.920833333334</v>
      </c>
    </row>
    <row r="302" spans="1:20" x14ac:dyDescent="0.35">
      <c r="A302">
        <v>300</v>
      </c>
      <c r="B302" s="4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6">
        <f t="shared" si="17"/>
        <v>5</v>
      </c>
      <c r="P302">
        <f t="shared" si="18"/>
        <v>5</v>
      </c>
      <c r="Q302" t="s">
        <v>2045</v>
      </c>
      <c r="R302" t="s">
        <v>2046</v>
      </c>
      <c r="S302" s="10">
        <f t="shared" si="20"/>
        <v>27309.820833333335</v>
      </c>
      <c r="T302" s="12">
        <f t="shared" si="19"/>
        <v>27309.920833333334</v>
      </c>
    </row>
    <row r="303" spans="1:20" ht="31" x14ac:dyDescent="0.35">
      <c r="A303">
        <v>301</v>
      </c>
      <c r="B303" s="4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6">
        <f t="shared" si="17"/>
        <v>1344.6666666666667</v>
      </c>
      <c r="P303">
        <f t="shared" si="18"/>
        <v>41.023728813559323</v>
      </c>
      <c r="Q303" t="s">
        <v>2039</v>
      </c>
      <c r="R303" t="s">
        <v>2040</v>
      </c>
      <c r="S303" s="10">
        <f t="shared" si="20"/>
        <v>27218.224999999999</v>
      </c>
      <c r="T303" s="12">
        <f t="shared" si="19"/>
        <v>27219.920833333334</v>
      </c>
    </row>
    <row r="304" spans="1:20" x14ac:dyDescent="0.35">
      <c r="A304">
        <v>302</v>
      </c>
      <c r="B304" s="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6">
        <f t="shared" si="17"/>
        <v>31.844940867279899</v>
      </c>
      <c r="P304">
        <f t="shared" si="18"/>
        <v>98.914285714285711</v>
      </c>
      <c r="Q304" t="s">
        <v>2037</v>
      </c>
      <c r="R304" t="s">
        <v>2038</v>
      </c>
      <c r="S304" s="10">
        <f t="shared" si="20"/>
        <v>27346.620833333334</v>
      </c>
      <c r="T304" s="12">
        <f t="shared" si="19"/>
        <v>27348.020833333332</v>
      </c>
    </row>
    <row r="305" spans="1:20" x14ac:dyDescent="0.35">
      <c r="A305">
        <v>303</v>
      </c>
      <c r="B305" s="4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6">
        <f t="shared" si="17"/>
        <v>82.617647058823536</v>
      </c>
      <c r="P305">
        <f t="shared" si="18"/>
        <v>87.78125</v>
      </c>
      <c r="Q305" t="s">
        <v>2033</v>
      </c>
      <c r="R305" t="s">
        <v>2043</v>
      </c>
      <c r="S305" s="10">
        <f t="shared" si="20"/>
        <v>27249.724999999999</v>
      </c>
      <c r="T305" s="12">
        <f t="shared" si="19"/>
        <v>27250.224999999999</v>
      </c>
    </row>
    <row r="306" spans="1:20" x14ac:dyDescent="0.35">
      <c r="A306">
        <v>304</v>
      </c>
      <c r="B306" s="4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6">
        <f t="shared" si="17"/>
        <v>546.14285714285722</v>
      </c>
      <c r="P306">
        <f t="shared" si="18"/>
        <v>80.767605633802816</v>
      </c>
      <c r="Q306" t="s">
        <v>2039</v>
      </c>
      <c r="R306" t="s">
        <v>2040</v>
      </c>
      <c r="S306" s="10">
        <f t="shared" si="20"/>
        <v>27271.020833333332</v>
      </c>
      <c r="T306" s="12">
        <f t="shared" si="19"/>
        <v>27275.120833333334</v>
      </c>
    </row>
    <row r="307" spans="1:20" x14ac:dyDescent="0.35">
      <c r="A307">
        <v>305</v>
      </c>
      <c r="B307" s="4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6">
        <f t="shared" si="17"/>
        <v>286.21428571428572</v>
      </c>
      <c r="P307">
        <f t="shared" si="18"/>
        <v>94.28235294117647</v>
      </c>
      <c r="Q307" t="s">
        <v>2037</v>
      </c>
      <c r="R307" t="s">
        <v>2038</v>
      </c>
      <c r="S307" s="10">
        <f t="shared" si="20"/>
        <v>27256.920833333334</v>
      </c>
      <c r="T307" s="12">
        <f t="shared" si="19"/>
        <v>27261.020833333332</v>
      </c>
    </row>
    <row r="308" spans="1:20" ht="31" x14ac:dyDescent="0.35">
      <c r="A308">
        <v>306</v>
      </c>
      <c r="B308" s="4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6">
        <f t="shared" si="17"/>
        <v>7.9076923076923071</v>
      </c>
      <c r="P308">
        <f t="shared" si="18"/>
        <v>73.428571428571431</v>
      </c>
      <c r="Q308" t="s">
        <v>2037</v>
      </c>
      <c r="R308" t="s">
        <v>2038</v>
      </c>
      <c r="S308" s="10">
        <f t="shared" si="20"/>
        <v>27305.120833333334</v>
      </c>
      <c r="T308" s="12">
        <f t="shared" si="19"/>
        <v>27305.420833333334</v>
      </c>
    </row>
    <row r="309" spans="1:20" x14ac:dyDescent="0.35">
      <c r="A309">
        <v>307</v>
      </c>
      <c r="B309" s="4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6">
        <f t="shared" si="17"/>
        <v>132.13677811550153</v>
      </c>
      <c r="P309">
        <f t="shared" si="18"/>
        <v>65.968133535660087</v>
      </c>
      <c r="Q309" t="s">
        <v>2045</v>
      </c>
      <c r="R309" t="s">
        <v>2051</v>
      </c>
      <c r="S309" s="10">
        <f t="shared" si="20"/>
        <v>27118.720833333333</v>
      </c>
      <c r="T309" s="12">
        <f t="shared" si="19"/>
        <v>27120.720833333333</v>
      </c>
    </row>
    <row r="310" spans="1:20" x14ac:dyDescent="0.35">
      <c r="A310">
        <v>308</v>
      </c>
      <c r="B310" s="4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6">
        <f t="shared" si="17"/>
        <v>74.077834179357026</v>
      </c>
      <c r="P310">
        <f t="shared" si="18"/>
        <v>109.04109589041096</v>
      </c>
      <c r="Q310" t="s">
        <v>2037</v>
      </c>
      <c r="R310" t="s">
        <v>2038</v>
      </c>
      <c r="S310" s="10">
        <f t="shared" si="20"/>
        <v>27077.220833333333</v>
      </c>
      <c r="T310" s="12">
        <f t="shared" si="19"/>
        <v>27077.320833333335</v>
      </c>
    </row>
    <row r="311" spans="1:20" x14ac:dyDescent="0.35">
      <c r="A311">
        <v>309</v>
      </c>
      <c r="B311" s="4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6">
        <f t="shared" si="17"/>
        <v>75.292682926829272</v>
      </c>
      <c r="P311">
        <f t="shared" si="18"/>
        <v>41.16</v>
      </c>
      <c r="Q311" t="s">
        <v>2033</v>
      </c>
      <c r="R311" t="s">
        <v>2043</v>
      </c>
      <c r="S311" s="10">
        <f t="shared" si="20"/>
        <v>27092.820833333335</v>
      </c>
      <c r="T311" s="12">
        <f t="shared" si="19"/>
        <v>27094.820833333335</v>
      </c>
    </row>
    <row r="312" spans="1:20" x14ac:dyDescent="0.35">
      <c r="A312">
        <v>310</v>
      </c>
      <c r="B312" s="4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6">
        <f t="shared" si="17"/>
        <v>20.333333333333332</v>
      </c>
      <c r="P312">
        <f t="shared" si="18"/>
        <v>99.125</v>
      </c>
      <c r="Q312" t="s">
        <v>2048</v>
      </c>
      <c r="R312" t="s">
        <v>2049</v>
      </c>
      <c r="S312" s="10">
        <f t="shared" si="20"/>
        <v>27039.820833333335</v>
      </c>
      <c r="T312" s="12">
        <f t="shared" si="19"/>
        <v>27041.420833333334</v>
      </c>
    </row>
    <row r="313" spans="1:20" x14ac:dyDescent="0.35">
      <c r="A313">
        <v>311</v>
      </c>
      <c r="B313" s="4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6">
        <f t="shared" si="17"/>
        <v>203.36507936507937</v>
      </c>
      <c r="P313">
        <f t="shared" si="18"/>
        <v>105.88429752066116</v>
      </c>
      <c r="Q313" t="s">
        <v>2037</v>
      </c>
      <c r="R313" t="s">
        <v>2038</v>
      </c>
      <c r="S313" s="10">
        <f t="shared" si="20"/>
        <v>27071.125</v>
      </c>
      <c r="T313" s="12">
        <f t="shared" si="19"/>
        <v>27072.325000000001</v>
      </c>
    </row>
    <row r="314" spans="1:20" x14ac:dyDescent="0.35">
      <c r="A314">
        <v>312</v>
      </c>
      <c r="B314" s="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6">
        <f t="shared" si="17"/>
        <v>310.2284263959391</v>
      </c>
      <c r="P314">
        <f t="shared" si="18"/>
        <v>48.996525921966864</v>
      </c>
      <c r="Q314" t="s">
        <v>2037</v>
      </c>
      <c r="R314" t="s">
        <v>2038</v>
      </c>
      <c r="S314" s="10">
        <f t="shared" si="20"/>
        <v>27169.320833333335</v>
      </c>
      <c r="T314" s="12">
        <f t="shared" si="19"/>
        <v>27170.020833333332</v>
      </c>
    </row>
    <row r="315" spans="1:20" x14ac:dyDescent="0.35">
      <c r="A315">
        <v>313</v>
      </c>
      <c r="B315" s="4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6">
        <f t="shared" si="17"/>
        <v>395.31818181818181</v>
      </c>
      <c r="P315">
        <f t="shared" si="18"/>
        <v>39</v>
      </c>
      <c r="Q315" t="s">
        <v>2033</v>
      </c>
      <c r="R315" t="s">
        <v>2034</v>
      </c>
      <c r="S315" s="10">
        <f t="shared" si="20"/>
        <v>27108.724999999999</v>
      </c>
      <c r="T315" s="12">
        <f t="shared" si="19"/>
        <v>27108.924999999999</v>
      </c>
    </row>
    <row r="316" spans="1:20" x14ac:dyDescent="0.35">
      <c r="A316">
        <v>314</v>
      </c>
      <c r="B316" s="4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6">
        <f t="shared" si="17"/>
        <v>294.71428571428572</v>
      </c>
      <c r="P316">
        <f t="shared" si="18"/>
        <v>31.022556390977442</v>
      </c>
      <c r="Q316" t="s">
        <v>2039</v>
      </c>
      <c r="R316" t="s">
        <v>2040</v>
      </c>
      <c r="S316" s="10">
        <f t="shared" si="20"/>
        <v>27365.720833333333</v>
      </c>
      <c r="T316" s="12">
        <f t="shared" si="19"/>
        <v>27366.220833333333</v>
      </c>
    </row>
    <row r="317" spans="1:20" ht="31" x14ac:dyDescent="0.35">
      <c r="A317">
        <v>315</v>
      </c>
      <c r="B317" s="4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6">
        <f t="shared" si="17"/>
        <v>33.89473684210526</v>
      </c>
      <c r="P317">
        <f t="shared" si="18"/>
        <v>103.87096774193549</v>
      </c>
      <c r="Q317" t="s">
        <v>2037</v>
      </c>
      <c r="R317" t="s">
        <v>2038</v>
      </c>
      <c r="S317" s="10">
        <f t="shared" si="20"/>
        <v>27190.420833333334</v>
      </c>
      <c r="T317" s="12">
        <f t="shared" si="19"/>
        <v>27193.320833333335</v>
      </c>
    </row>
    <row r="318" spans="1:20" x14ac:dyDescent="0.35">
      <c r="A318">
        <v>316</v>
      </c>
      <c r="B318" s="4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6">
        <f t="shared" si="17"/>
        <v>66.677083333333329</v>
      </c>
      <c r="P318">
        <f t="shared" si="18"/>
        <v>59.268518518518519</v>
      </c>
      <c r="Q318" t="s">
        <v>2031</v>
      </c>
      <c r="R318" t="s">
        <v>2032</v>
      </c>
      <c r="S318" s="10">
        <f t="shared" si="20"/>
        <v>27390.924999999999</v>
      </c>
      <c r="T318" s="12">
        <f t="shared" si="19"/>
        <v>27391.025000000001</v>
      </c>
    </row>
    <row r="319" spans="1:20" x14ac:dyDescent="0.35">
      <c r="A319">
        <v>317</v>
      </c>
      <c r="B319" s="4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6">
        <f t="shared" si="17"/>
        <v>19.227272727272727</v>
      </c>
      <c r="P319">
        <f t="shared" si="18"/>
        <v>42.3</v>
      </c>
      <c r="Q319" t="s">
        <v>2037</v>
      </c>
      <c r="R319" t="s">
        <v>2038</v>
      </c>
      <c r="S319" s="10">
        <f t="shared" si="20"/>
        <v>27299.020833333332</v>
      </c>
      <c r="T319" s="12">
        <f t="shared" si="19"/>
        <v>27300.320833333335</v>
      </c>
    </row>
    <row r="320" spans="1:20" ht="31" x14ac:dyDescent="0.35">
      <c r="A320">
        <v>318</v>
      </c>
      <c r="B320" s="4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6">
        <f t="shared" si="17"/>
        <v>15.842105263157894</v>
      </c>
      <c r="P320">
        <f t="shared" si="18"/>
        <v>53.117647058823529</v>
      </c>
      <c r="Q320" t="s">
        <v>2033</v>
      </c>
      <c r="R320" t="s">
        <v>2034</v>
      </c>
      <c r="S320" s="10">
        <f t="shared" si="20"/>
        <v>27180.525000000001</v>
      </c>
      <c r="T320" s="12">
        <f t="shared" si="19"/>
        <v>27180.724999999999</v>
      </c>
    </row>
    <row r="321" spans="1:20" x14ac:dyDescent="0.35">
      <c r="A321">
        <v>319</v>
      </c>
      <c r="B321" s="4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6">
        <f t="shared" si="17"/>
        <v>38.702380952380956</v>
      </c>
      <c r="P321">
        <f t="shared" si="18"/>
        <v>50.796875</v>
      </c>
      <c r="Q321" t="s">
        <v>2035</v>
      </c>
      <c r="R321" t="s">
        <v>2036</v>
      </c>
      <c r="S321" s="10">
        <f t="shared" si="20"/>
        <v>27052.320833333335</v>
      </c>
      <c r="T321" s="12">
        <f t="shared" si="19"/>
        <v>27054.720833333333</v>
      </c>
    </row>
    <row r="322" spans="1:20" x14ac:dyDescent="0.35">
      <c r="A322">
        <v>320</v>
      </c>
      <c r="B322" s="4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6">
        <f t="shared" si="17"/>
        <v>9.5876777251184837</v>
      </c>
      <c r="P322">
        <f t="shared" si="18"/>
        <v>101.15</v>
      </c>
      <c r="Q322" t="s">
        <v>2045</v>
      </c>
      <c r="R322" t="s">
        <v>2051</v>
      </c>
      <c r="S322" s="10">
        <f t="shared" si="20"/>
        <v>27079.420833333334</v>
      </c>
      <c r="T322" s="12">
        <f t="shared" si="19"/>
        <v>27080.320833333335</v>
      </c>
    </row>
    <row r="323" spans="1:20" ht="31" x14ac:dyDescent="0.35">
      <c r="A323">
        <v>321</v>
      </c>
      <c r="B323" s="4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6">
        <f t="shared" ref="O323:O386" si="21">MAX(0,(E323/D323)*100)</f>
        <v>94.144366197183089</v>
      </c>
      <c r="P323">
        <f t="shared" ref="P323:P386" si="22">IFERROR(AVERAGE(E323/G323),0)</f>
        <v>65.000810372771468</v>
      </c>
      <c r="Q323" t="s">
        <v>2039</v>
      </c>
      <c r="R323" t="s">
        <v>2050</v>
      </c>
      <c r="S323" s="10">
        <f t="shared" si="20"/>
        <v>27075.520833333332</v>
      </c>
      <c r="T323" s="12">
        <f t="shared" ref="T323:T386" si="23">K323/864000+DATE(1970,1,1)</f>
        <v>27076.320833333335</v>
      </c>
    </row>
    <row r="324" spans="1:20" ht="31" x14ac:dyDescent="0.35">
      <c r="A324">
        <v>322</v>
      </c>
      <c r="B324" s="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6">
        <f t="shared" si="21"/>
        <v>166.56234096692114</v>
      </c>
      <c r="P324">
        <f t="shared" si="22"/>
        <v>37.998645510835914</v>
      </c>
      <c r="Q324" t="s">
        <v>2037</v>
      </c>
      <c r="R324" t="s">
        <v>2038</v>
      </c>
      <c r="S324" s="10">
        <f t="shared" si="20"/>
        <v>27062.825000000001</v>
      </c>
      <c r="T324" s="12">
        <f t="shared" si="23"/>
        <v>27064.125</v>
      </c>
    </row>
    <row r="325" spans="1:20" x14ac:dyDescent="0.35">
      <c r="A325">
        <v>323</v>
      </c>
      <c r="B325" s="4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6">
        <f t="shared" si="21"/>
        <v>24.134831460674157</v>
      </c>
      <c r="P325">
        <f t="shared" si="22"/>
        <v>82.615384615384613</v>
      </c>
      <c r="Q325" t="s">
        <v>2039</v>
      </c>
      <c r="R325" t="s">
        <v>2040</v>
      </c>
      <c r="S325" s="10">
        <f t="shared" si="20"/>
        <v>27184.620833333334</v>
      </c>
      <c r="T325" s="12">
        <f t="shared" si="23"/>
        <v>27184.820833333335</v>
      </c>
    </row>
    <row r="326" spans="1:20" x14ac:dyDescent="0.35">
      <c r="A326">
        <v>324</v>
      </c>
      <c r="B326" s="4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6">
        <f t="shared" si="21"/>
        <v>164.05633802816902</v>
      </c>
      <c r="P326">
        <f t="shared" si="22"/>
        <v>37.941368078175898</v>
      </c>
      <c r="Q326" t="s">
        <v>2037</v>
      </c>
      <c r="R326" t="s">
        <v>2038</v>
      </c>
      <c r="S326" s="10">
        <f t="shared" si="20"/>
        <v>27229.720833333333</v>
      </c>
      <c r="T326" s="12">
        <f t="shared" si="23"/>
        <v>27230.920833333334</v>
      </c>
    </row>
    <row r="327" spans="1:20" ht="31" x14ac:dyDescent="0.35">
      <c r="A327">
        <v>325</v>
      </c>
      <c r="B327" s="4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6">
        <f t="shared" si="21"/>
        <v>90.723076923076931</v>
      </c>
      <c r="P327">
        <f t="shared" si="22"/>
        <v>80.780821917808225</v>
      </c>
      <c r="Q327" t="s">
        <v>2037</v>
      </c>
      <c r="R327" t="s">
        <v>2038</v>
      </c>
      <c r="S327" s="10">
        <f t="shared" si="20"/>
        <v>27338.820833333335</v>
      </c>
      <c r="T327" s="12">
        <f t="shared" si="23"/>
        <v>27341.120833333334</v>
      </c>
    </row>
    <row r="328" spans="1:20" ht="31" x14ac:dyDescent="0.35">
      <c r="A328">
        <v>326</v>
      </c>
      <c r="B328" s="4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6">
        <f t="shared" si="21"/>
        <v>46.194444444444443</v>
      </c>
      <c r="P328">
        <f t="shared" si="22"/>
        <v>25.984375</v>
      </c>
      <c r="Q328" t="s">
        <v>2039</v>
      </c>
      <c r="R328" t="s">
        <v>2047</v>
      </c>
      <c r="S328" s="10">
        <f t="shared" si="20"/>
        <v>27248.525000000001</v>
      </c>
      <c r="T328" s="12">
        <f t="shared" si="23"/>
        <v>27249.125</v>
      </c>
    </row>
    <row r="329" spans="1:20" x14ac:dyDescent="0.35">
      <c r="A329">
        <v>327</v>
      </c>
      <c r="B329" s="4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6">
        <f t="shared" si="21"/>
        <v>38.53846153846154</v>
      </c>
      <c r="P329">
        <f t="shared" si="22"/>
        <v>30.363636363636363</v>
      </c>
      <c r="Q329" t="s">
        <v>2037</v>
      </c>
      <c r="R329" t="s">
        <v>2038</v>
      </c>
      <c r="S329" s="10">
        <f t="shared" si="20"/>
        <v>27382.620833333334</v>
      </c>
      <c r="T329" s="12">
        <f t="shared" si="23"/>
        <v>27383.020833333332</v>
      </c>
    </row>
    <row r="330" spans="1:20" ht="31" x14ac:dyDescent="0.35">
      <c r="A330">
        <v>328</v>
      </c>
      <c r="B330" s="4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6">
        <f t="shared" si="21"/>
        <v>133.56231003039514</v>
      </c>
      <c r="P330">
        <f t="shared" si="22"/>
        <v>54.004916018025398</v>
      </c>
      <c r="Q330" t="s">
        <v>2033</v>
      </c>
      <c r="R330" t="s">
        <v>2034</v>
      </c>
      <c r="S330" s="10">
        <f t="shared" si="20"/>
        <v>27355.525000000001</v>
      </c>
      <c r="T330" s="12">
        <f t="shared" si="23"/>
        <v>27356.625</v>
      </c>
    </row>
    <row r="331" spans="1:20" x14ac:dyDescent="0.35">
      <c r="A331">
        <v>329</v>
      </c>
      <c r="B331" s="4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6">
        <f t="shared" si="21"/>
        <v>22.896588486140725</v>
      </c>
      <c r="P331">
        <f t="shared" si="22"/>
        <v>101.78672985781991</v>
      </c>
      <c r="Q331" t="s">
        <v>2048</v>
      </c>
      <c r="R331" t="s">
        <v>2049</v>
      </c>
      <c r="S331" s="10">
        <f t="shared" si="20"/>
        <v>27283.724999999999</v>
      </c>
      <c r="T331" s="12">
        <f t="shared" si="23"/>
        <v>27284.825000000001</v>
      </c>
    </row>
    <row r="332" spans="1:20" ht="31" x14ac:dyDescent="0.35">
      <c r="A332">
        <v>330</v>
      </c>
      <c r="B332" s="4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6">
        <f t="shared" si="21"/>
        <v>184.95548961424333</v>
      </c>
      <c r="P332">
        <f t="shared" si="22"/>
        <v>45.003610108303249</v>
      </c>
      <c r="Q332" t="s">
        <v>2039</v>
      </c>
      <c r="R332" t="s">
        <v>2040</v>
      </c>
      <c r="S332" s="10">
        <f t="shared" si="20"/>
        <v>27319.825000000001</v>
      </c>
      <c r="T332" s="12">
        <f t="shared" si="23"/>
        <v>27319.924999999999</v>
      </c>
    </row>
    <row r="333" spans="1:20" x14ac:dyDescent="0.35">
      <c r="A333">
        <v>331</v>
      </c>
      <c r="B333" s="4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6">
        <f t="shared" si="21"/>
        <v>443.72727272727275</v>
      </c>
      <c r="P333">
        <f t="shared" si="22"/>
        <v>77.068421052631578</v>
      </c>
      <c r="Q333" t="s">
        <v>2031</v>
      </c>
      <c r="R333" t="s">
        <v>2032</v>
      </c>
      <c r="S333" s="10">
        <f t="shared" ref="S333:S396" si="24">J:J/864000+DATE(1970,1,1)</f>
        <v>27101.724999999999</v>
      </c>
      <c r="T333" s="12">
        <f t="shared" si="23"/>
        <v>27101.825000000001</v>
      </c>
    </row>
    <row r="334" spans="1:20" ht="31" x14ac:dyDescent="0.35">
      <c r="A334">
        <v>332</v>
      </c>
      <c r="B334" s="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6">
        <f t="shared" si="21"/>
        <v>199.9806763285024</v>
      </c>
      <c r="P334">
        <f t="shared" si="22"/>
        <v>88.076595744680844</v>
      </c>
      <c r="Q334" t="s">
        <v>2035</v>
      </c>
      <c r="R334" t="s">
        <v>2044</v>
      </c>
      <c r="S334" s="10">
        <f t="shared" si="24"/>
        <v>27148.220833333333</v>
      </c>
      <c r="T334" s="12">
        <f t="shared" si="23"/>
        <v>27148.320833333335</v>
      </c>
    </row>
    <row r="335" spans="1:20" x14ac:dyDescent="0.35">
      <c r="A335">
        <v>333</v>
      </c>
      <c r="B335" s="4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6">
        <f t="shared" si="21"/>
        <v>123.95833333333333</v>
      </c>
      <c r="P335">
        <f t="shared" si="22"/>
        <v>47.035573122529641</v>
      </c>
      <c r="Q335" t="s">
        <v>2037</v>
      </c>
      <c r="R335" t="s">
        <v>2038</v>
      </c>
      <c r="S335" s="10">
        <f t="shared" si="24"/>
        <v>27354.525000000001</v>
      </c>
      <c r="T335" s="12">
        <f t="shared" si="23"/>
        <v>27357.325000000001</v>
      </c>
    </row>
    <row r="336" spans="1:20" x14ac:dyDescent="0.35">
      <c r="A336">
        <v>334</v>
      </c>
      <c r="B336" s="4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6">
        <f t="shared" si="21"/>
        <v>186.61329305135951</v>
      </c>
      <c r="P336">
        <f t="shared" si="22"/>
        <v>110.99550763701707</v>
      </c>
      <c r="Q336" t="s">
        <v>2033</v>
      </c>
      <c r="R336" t="s">
        <v>2034</v>
      </c>
      <c r="S336" s="10">
        <f t="shared" si="24"/>
        <v>27323.125</v>
      </c>
      <c r="T336" s="12">
        <f t="shared" si="23"/>
        <v>27323.825000000001</v>
      </c>
    </row>
    <row r="337" spans="1:20" x14ac:dyDescent="0.35">
      <c r="A337">
        <v>335</v>
      </c>
      <c r="B337" s="4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6">
        <f t="shared" si="21"/>
        <v>114.28538550057536</v>
      </c>
      <c r="P337">
        <f t="shared" si="22"/>
        <v>87.003066141042481</v>
      </c>
      <c r="Q337" t="s">
        <v>2033</v>
      </c>
      <c r="R337" t="s">
        <v>2034</v>
      </c>
      <c r="S337" s="10">
        <f t="shared" si="24"/>
        <v>27390.525000000001</v>
      </c>
      <c r="T337" s="12">
        <f t="shared" si="23"/>
        <v>27391.825000000001</v>
      </c>
    </row>
    <row r="338" spans="1:20" x14ac:dyDescent="0.35">
      <c r="A338">
        <v>336</v>
      </c>
      <c r="B338" s="4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6">
        <f t="shared" si="21"/>
        <v>97.032531824611041</v>
      </c>
      <c r="P338">
        <f t="shared" si="22"/>
        <v>63.994402985074629</v>
      </c>
      <c r="Q338" t="s">
        <v>2033</v>
      </c>
      <c r="R338" t="s">
        <v>2034</v>
      </c>
      <c r="S338" s="10">
        <f t="shared" si="24"/>
        <v>27064.825000000001</v>
      </c>
      <c r="T338" s="12">
        <f t="shared" si="23"/>
        <v>27064.924999999999</v>
      </c>
    </row>
    <row r="339" spans="1:20" x14ac:dyDescent="0.35">
      <c r="A339">
        <v>337</v>
      </c>
      <c r="B339" s="4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6">
        <f t="shared" si="21"/>
        <v>122.81904761904762</v>
      </c>
      <c r="P339">
        <f t="shared" si="22"/>
        <v>105.9945205479452</v>
      </c>
      <c r="Q339" t="s">
        <v>2037</v>
      </c>
      <c r="R339" t="s">
        <v>2038</v>
      </c>
      <c r="S339" s="10">
        <f t="shared" si="24"/>
        <v>27390.125</v>
      </c>
      <c r="T339" s="12">
        <f t="shared" si="23"/>
        <v>27390.224999999999</v>
      </c>
    </row>
    <row r="340" spans="1:20" x14ac:dyDescent="0.35">
      <c r="A340">
        <v>338</v>
      </c>
      <c r="B340" s="4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6">
        <f t="shared" si="21"/>
        <v>179.14326647564468</v>
      </c>
      <c r="P340">
        <f t="shared" si="22"/>
        <v>73.989349112426041</v>
      </c>
      <c r="Q340" t="s">
        <v>2037</v>
      </c>
      <c r="R340" t="s">
        <v>2038</v>
      </c>
      <c r="S340" s="10">
        <f t="shared" si="24"/>
        <v>27094.220833333333</v>
      </c>
      <c r="T340" s="12">
        <f t="shared" si="23"/>
        <v>27097.220833333333</v>
      </c>
    </row>
    <row r="341" spans="1:20" x14ac:dyDescent="0.35">
      <c r="A341">
        <v>339</v>
      </c>
      <c r="B341" s="4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6">
        <f t="shared" si="21"/>
        <v>79.951577402787962</v>
      </c>
      <c r="P341">
        <f t="shared" si="22"/>
        <v>84.02004626060139</v>
      </c>
      <c r="Q341" t="s">
        <v>2037</v>
      </c>
      <c r="R341" t="s">
        <v>2038</v>
      </c>
      <c r="S341" s="10">
        <f t="shared" si="24"/>
        <v>27307.020833333332</v>
      </c>
      <c r="T341" s="12">
        <f t="shared" si="23"/>
        <v>27308.420833333334</v>
      </c>
    </row>
    <row r="342" spans="1:20" x14ac:dyDescent="0.35">
      <c r="A342">
        <v>340</v>
      </c>
      <c r="B342" s="4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6">
        <f t="shared" si="21"/>
        <v>94.242587601078171</v>
      </c>
      <c r="P342">
        <f t="shared" si="22"/>
        <v>88.966921119592882</v>
      </c>
      <c r="Q342" t="s">
        <v>2052</v>
      </c>
      <c r="R342" t="s">
        <v>2053</v>
      </c>
      <c r="S342" s="10">
        <f t="shared" si="24"/>
        <v>27101.025000000001</v>
      </c>
      <c r="T342" s="12">
        <f t="shared" si="23"/>
        <v>27101.125</v>
      </c>
    </row>
    <row r="343" spans="1:20" ht="31" x14ac:dyDescent="0.35">
      <c r="A343">
        <v>341</v>
      </c>
      <c r="B343" s="4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6">
        <f t="shared" si="21"/>
        <v>84.669291338582681</v>
      </c>
      <c r="P343">
        <f t="shared" si="22"/>
        <v>76.990453460620529</v>
      </c>
      <c r="Q343" t="s">
        <v>2033</v>
      </c>
      <c r="R343" t="s">
        <v>2043</v>
      </c>
      <c r="S343" s="10">
        <f t="shared" si="24"/>
        <v>27236.520833333332</v>
      </c>
      <c r="T343" s="12">
        <f t="shared" si="23"/>
        <v>27237.220833333333</v>
      </c>
    </row>
    <row r="344" spans="1:20" x14ac:dyDescent="0.35">
      <c r="A344">
        <v>342</v>
      </c>
      <c r="B344" s="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6">
        <f t="shared" si="21"/>
        <v>66.521920668058456</v>
      </c>
      <c r="P344">
        <f t="shared" si="22"/>
        <v>97.146341463414629</v>
      </c>
      <c r="Q344" t="s">
        <v>2037</v>
      </c>
      <c r="R344" t="s">
        <v>2038</v>
      </c>
      <c r="S344" s="10">
        <f t="shared" si="24"/>
        <v>27159.620833333334</v>
      </c>
      <c r="T344" s="12">
        <f t="shared" si="23"/>
        <v>27160.820833333335</v>
      </c>
    </row>
    <row r="345" spans="1:20" x14ac:dyDescent="0.35">
      <c r="A345">
        <v>343</v>
      </c>
      <c r="B345" s="4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6">
        <f t="shared" si="21"/>
        <v>53.922222222222224</v>
      </c>
      <c r="P345">
        <f t="shared" si="22"/>
        <v>33.013605442176868</v>
      </c>
      <c r="Q345" t="s">
        <v>2037</v>
      </c>
      <c r="R345" t="s">
        <v>2038</v>
      </c>
      <c r="S345" s="10">
        <f t="shared" si="24"/>
        <v>27171.825000000001</v>
      </c>
      <c r="T345" s="12">
        <f t="shared" si="23"/>
        <v>27177.125</v>
      </c>
    </row>
    <row r="346" spans="1:20" x14ac:dyDescent="0.35">
      <c r="A346">
        <v>344</v>
      </c>
      <c r="B346" s="4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6">
        <f t="shared" si="21"/>
        <v>41.983299595141702</v>
      </c>
      <c r="P346">
        <f t="shared" si="22"/>
        <v>99.950602409638549</v>
      </c>
      <c r="Q346" t="s">
        <v>2048</v>
      </c>
      <c r="R346" t="s">
        <v>2049</v>
      </c>
      <c r="S346" s="10">
        <f t="shared" si="24"/>
        <v>27324.325000000001</v>
      </c>
      <c r="T346" s="12">
        <f t="shared" si="23"/>
        <v>27328.325000000001</v>
      </c>
    </row>
    <row r="347" spans="1:20" x14ac:dyDescent="0.35">
      <c r="A347">
        <v>345</v>
      </c>
      <c r="B347" s="4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6">
        <f t="shared" si="21"/>
        <v>14.69479695431472</v>
      </c>
      <c r="P347">
        <f t="shared" si="22"/>
        <v>69.966767371601208</v>
      </c>
      <c r="Q347" t="s">
        <v>2039</v>
      </c>
      <c r="R347" t="s">
        <v>2042</v>
      </c>
      <c r="S347" s="10">
        <f t="shared" si="24"/>
        <v>27231.520833333332</v>
      </c>
      <c r="T347" s="12">
        <f t="shared" si="23"/>
        <v>27231.620833333334</v>
      </c>
    </row>
    <row r="348" spans="1:20" x14ac:dyDescent="0.35">
      <c r="A348">
        <v>346</v>
      </c>
      <c r="B348" s="4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6">
        <f t="shared" si="21"/>
        <v>34.475000000000001</v>
      </c>
      <c r="P348">
        <f t="shared" si="22"/>
        <v>110.32</v>
      </c>
      <c r="Q348" t="s">
        <v>2033</v>
      </c>
      <c r="R348" t="s">
        <v>2043</v>
      </c>
      <c r="S348" s="10">
        <f t="shared" si="24"/>
        <v>27309.220833333333</v>
      </c>
      <c r="T348" s="12">
        <f t="shared" si="23"/>
        <v>27314.720833333333</v>
      </c>
    </row>
    <row r="349" spans="1:20" x14ac:dyDescent="0.35">
      <c r="A349">
        <v>347</v>
      </c>
      <c r="B349" s="4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6">
        <f t="shared" si="21"/>
        <v>1400.7777777777778</v>
      </c>
      <c r="P349">
        <f t="shared" si="22"/>
        <v>66.005235602094245</v>
      </c>
      <c r="Q349" t="s">
        <v>2035</v>
      </c>
      <c r="R349" t="s">
        <v>2036</v>
      </c>
      <c r="S349" s="10">
        <f t="shared" si="24"/>
        <v>27216.724999999999</v>
      </c>
      <c r="T349" s="12">
        <f t="shared" si="23"/>
        <v>27219.125</v>
      </c>
    </row>
    <row r="350" spans="1:20" x14ac:dyDescent="0.35">
      <c r="A350">
        <v>348</v>
      </c>
      <c r="B350" s="4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6">
        <f t="shared" si="21"/>
        <v>71.770351758793964</v>
      </c>
      <c r="P350">
        <f t="shared" si="22"/>
        <v>41.005742176284812</v>
      </c>
      <c r="Q350" t="s">
        <v>2031</v>
      </c>
      <c r="R350" t="s">
        <v>2032</v>
      </c>
      <c r="S350" s="10">
        <f t="shared" si="24"/>
        <v>27290.325000000001</v>
      </c>
      <c r="T350" s="12">
        <f t="shared" si="23"/>
        <v>27291.625</v>
      </c>
    </row>
    <row r="351" spans="1:20" x14ac:dyDescent="0.35">
      <c r="A351">
        <v>349</v>
      </c>
      <c r="B351" s="4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6">
        <f t="shared" si="21"/>
        <v>53.074115044247783</v>
      </c>
      <c r="P351">
        <f t="shared" si="22"/>
        <v>103.96316359696641</v>
      </c>
      <c r="Q351" t="s">
        <v>2037</v>
      </c>
      <c r="R351" t="s">
        <v>2038</v>
      </c>
      <c r="S351" s="10">
        <f t="shared" si="24"/>
        <v>27305.120833333334</v>
      </c>
      <c r="T351" s="12">
        <f t="shared" si="23"/>
        <v>27308.120833333334</v>
      </c>
    </row>
    <row r="352" spans="1:20" x14ac:dyDescent="0.35">
      <c r="A352">
        <v>350</v>
      </c>
      <c r="B352" s="4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6">
        <f t="shared" si="21"/>
        <v>5</v>
      </c>
      <c r="P352">
        <f t="shared" si="22"/>
        <v>5</v>
      </c>
      <c r="Q352" t="s">
        <v>2033</v>
      </c>
      <c r="R352" t="s">
        <v>2056</v>
      </c>
      <c r="S352" s="10">
        <f t="shared" si="24"/>
        <v>27226.520833333332</v>
      </c>
      <c r="T352" s="12">
        <f t="shared" si="23"/>
        <v>27228.320833333335</v>
      </c>
    </row>
    <row r="353" spans="1:20" x14ac:dyDescent="0.35">
      <c r="A353">
        <v>351</v>
      </c>
      <c r="B353" s="4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6">
        <f t="shared" si="21"/>
        <v>127.70715249662618</v>
      </c>
      <c r="P353">
        <f t="shared" si="22"/>
        <v>47.009935419771487</v>
      </c>
      <c r="Q353" t="s">
        <v>2033</v>
      </c>
      <c r="R353" t="s">
        <v>2034</v>
      </c>
      <c r="S353" s="10">
        <f t="shared" si="24"/>
        <v>27236.120833333334</v>
      </c>
      <c r="T353" s="12">
        <f t="shared" si="23"/>
        <v>27237.520833333332</v>
      </c>
    </row>
    <row r="354" spans="1:20" x14ac:dyDescent="0.35">
      <c r="A354">
        <v>352</v>
      </c>
      <c r="B354" s="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6">
        <f t="shared" si="21"/>
        <v>34.892857142857139</v>
      </c>
      <c r="P354">
        <f t="shared" si="22"/>
        <v>29.606060606060606</v>
      </c>
      <c r="Q354" t="s">
        <v>2037</v>
      </c>
      <c r="R354" t="s">
        <v>2038</v>
      </c>
      <c r="S354" s="10">
        <f t="shared" si="24"/>
        <v>27243.625</v>
      </c>
      <c r="T354" s="12">
        <f t="shared" si="23"/>
        <v>27244.424999999999</v>
      </c>
    </row>
    <row r="355" spans="1:20" x14ac:dyDescent="0.35">
      <c r="A355">
        <v>353</v>
      </c>
      <c r="B355" s="4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6">
        <f t="shared" si="21"/>
        <v>410.59821428571428</v>
      </c>
      <c r="P355">
        <f t="shared" si="22"/>
        <v>81.010569583088667</v>
      </c>
      <c r="Q355" t="s">
        <v>2037</v>
      </c>
      <c r="R355" t="s">
        <v>2038</v>
      </c>
      <c r="S355" s="10">
        <f t="shared" si="24"/>
        <v>27377.220833333333</v>
      </c>
      <c r="T355" s="12">
        <f t="shared" si="23"/>
        <v>27377.320833333335</v>
      </c>
    </row>
    <row r="356" spans="1:20" x14ac:dyDescent="0.35">
      <c r="A356">
        <v>354</v>
      </c>
      <c r="B356" s="4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6">
        <f t="shared" si="21"/>
        <v>123.73770491803278</v>
      </c>
      <c r="P356">
        <f t="shared" si="22"/>
        <v>94.35</v>
      </c>
      <c r="Q356" t="s">
        <v>2039</v>
      </c>
      <c r="R356" t="s">
        <v>2040</v>
      </c>
      <c r="S356" s="10">
        <f t="shared" si="24"/>
        <v>27164.120833333334</v>
      </c>
      <c r="T356" s="12">
        <f t="shared" si="23"/>
        <v>27164.820833333335</v>
      </c>
    </row>
    <row r="357" spans="1:20" x14ac:dyDescent="0.35">
      <c r="A357">
        <v>355</v>
      </c>
      <c r="B357" s="4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6">
        <f t="shared" si="21"/>
        <v>58.973684210526315</v>
      </c>
      <c r="P357">
        <f t="shared" si="22"/>
        <v>26.058139534883722</v>
      </c>
      <c r="Q357" t="s">
        <v>2035</v>
      </c>
      <c r="R357" t="s">
        <v>2044</v>
      </c>
      <c r="S357" s="10">
        <f t="shared" si="24"/>
        <v>27287.825000000001</v>
      </c>
      <c r="T357" s="12">
        <f t="shared" si="23"/>
        <v>27291.825000000001</v>
      </c>
    </row>
    <row r="358" spans="1:20" x14ac:dyDescent="0.35">
      <c r="A358">
        <v>356</v>
      </c>
      <c r="B358" s="4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6">
        <f t="shared" si="21"/>
        <v>36.892473118279568</v>
      </c>
      <c r="P358">
        <f t="shared" si="22"/>
        <v>85.775000000000006</v>
      </c>
      <c r="Q358" t="s">
        <v>2037</v>
      </c>
      <c r="R358" t="s">
        <v>2038</v>
      </c>
      <c r="S358" s="10">
        <f t="shared" si="24"/>
        <v>27104.325000000001</v>
      </c>
      <c r="T358" s="12">
        <f t="shared" si="23"/>
        <v>27105.224999999999</v>
      </c>
    </row>
    <row r="359" spans="1:20" x14ac:dyDescent="0.35">
      <c r="A359">
        <v>357</v>
      </c>
      <c r="B359" s="4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6">
        <f t="shared" si="21"/>
        <v>184.91304347826087</v>
      </c>
      <c r="P359">
        <f t="shared" si="22"/>
        <v>103.73170731707317</v>
      </c>
      <c r="Q359" t="s">
        <v>2048</v>
      </c>
      <c r="R359" t="s">
        <v>2049</v>
      </c>
      <c r="S359" s="10">
        <f t="shared" si="24"/>
        <v>27237.120833333334</v>
      </c>
      <c r="T359" s="12">
        <f t="shared" si="23"/>
        <v>27239.620833333334</v>
      </c>
    </row>
    <row r="360" spans="1:20" x14ac:dyDescent="0.35">
      <c r="A360">
        <v>358</v>
      </c>
      <c r="B360" s="4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6">
        <f t="shared" si="21"/>
        <v>11.814432989690722</v>
      </c>
      <c r="P360">
        <f t="shared" si="22"/>
        <v>49.826086956521742</v>
      </c>
      <c r="Q360" t="s">
        <v>2052</v>
      </c>
      <c r="R360" t="s">
        <v>2053</v>
      </c>
      <c r="S360" s="10">
        <f t="shared" si="24"/>
        <v>27344.320833333335</v>
      </c>
      <c r="T360" s="12">
        <f t="shared" si="23"/>
        <v>27344.620833333334</v>
      </c>
    </row>
    <row r="361" spans="1:20" x14ac:dyDescent="0.35">
      <c r="A361">
        <v>359</v>
      </c>
      <c r="B361" s="4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6">
        <f t="shared" si="21"/>
        <v>298.7</v>
      </c>
      <c r="P361">
        <f t="shared" si="22"/>
        <v>63.893048128342244</v>
      </c>
      <c r="Q361" t="s">
        <v>2039</v>
      </c>
      <c r="R361" t="s">
        <v>2047</v>
      </c>
      <c r="S361" s="10">
        <f t="shared" si="24"/>
        <v>27090.320833333335</v>
      </c>
      <c r="T361" s="12">
        <f t="shared" si="23"/>
        <v>27091.020833333332</v>
      </c>
    </row>
    <row r="362" spans="1:20" x14ac:dyDescent="0.35">
      <c r="A362">
        <v>360</v>
      </c>
      <c r="B362" s="4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6">
        <f t="shared" si="21"/>
        <v>226.35175879396985</v>
      </c>
      <c r="P362">
        <f t="shared" si="22"/>
        <v>47.002434782608695</v>
      </c>
      <c r="Q362" t="s">
        <v>2037</v>
      </c>
      <c r="R362" t="s">
        <v>2038</v>
      </c>
      <c r="S362" s="10">
        <f t="shared" si="24"/>
        <v>27066.525000000001</v>
      </c>
      <c r="T362" s="12">
        <f t="shared" si="23"/>
        <v>27067.924999999999</v>
      </c>
    </row>
    <row r="363" spans="1:20" x14ac:dyDescent="0.35">
      <c r="A363">
        <v>361</v>
      </c>
      <c r="B363" s="4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6">
        <f t="shared" si="21"/>
        <v>173.56363636363636</v>
      </c>
      <c r="P363">
        <f t="shared" si="22"/>
        <v>108.47727272727273</v>
      </c>
      <c r="Q363" t="s">
        <v>2037</v>
      </c>
      <c r="R363" t="s">
        <v>2038</v>
      </c>
      <c r="S363" s="10">
        <f t="shared" si="24"/>
        <v>27313.620833333334</v>
      </c>
      <c r="T363" s="12">
        <f t="shared" si="23"/>
        <v>27316.020833333332</v>
      </c>
    </row>
    <row r="364" spans="1:20" x14ac:dyDescent="0.35">
      <c r="A364">
        <v>362</v>
      </c>
      <c r="B364" s="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6">
        <f t="shared" si="21"/>
        <v>371.75675675675677</v>
      </c>
      <c r="P364">
        <f t="shared" si="22"/>
        <v>72.015706806282722</v>
      </c>
      <c r="Q364" t="s">
        <v>2033</v>
      </c>
      <c r="R364" t="s">
        <v>2034</v>
      </c>
      <c r="S364" s="10">
        <f t="shared" si="24"/>
        <v>27069.125</v>
      </c>
      <c r="T364" s="12">
        <f t="shared" si="23"/>
        <v>27072.924999999999</v>
      </c>
    </row>
    <row r="365" spans="1:20" x14ac:dyDescent="0.35">
      <c r="A365">
        <v>363</v>
      </c>
      <c r="B365" s="4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6">
        <f t="shared" si="21"/>
        <v>160.19230769230771</v>
      </c>
      <c r="P365">
        <f t="shared" si="22"/>
        <v>59.928057553956833</v>
      </c>
      <c r="Q365" t="s">
        <v>2033</v>
      </c>
      <c r="R365" t="s">
        <v>2034</v>
      </c>
      <c r="S365" s="10">
        <f t="shared" si="24"/>
        <v>27102.525000000001</v>
      </c>
      <c r="T365" s="12">
        <f t="shared" si="23"/>
        <v>27102.625</v>
      </c>
    </row>
    <row r="366" spans="1:20" x14ac:dyDescent="0.35">
      <c r="A366">
        <v>364</v>
      </c>
      <c r="B366" s="4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6">
        <f t="shared" si="21"/>
        <v>1616.3333333333335</v>
      </c>
      <c r="P366">
        <f t="shared" si="22"/>
        <v>78.209677419354833</v>
      </c>
      <c r="Q366" t="s">
        <v>2033</v>
      </c>
      <c r="R366" t="s">
        <v>2043</v>
      </c>
      <c r="S366" s="10">
        <f t="shared" si="24"/>
        <v>27328.525000000001</v>
      </c>
      <c r="T366" s="12">
        <f t="shared" si="23"/>
        <v>27331.520833333332</v>
      </c>
    </row>
    <row r="367" spans="1:20" x14ac:dyDescent="0.35">
      <c r="A367">
        <v>365</v>
      </c>
      <c r="B367" s="4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6">
        <f t="shared" si="21"/>
        <v>733.4375</v>
      </c>
      <c r="P367">
        <f t="shared" si="22"/>
        <v>104.77678571428571</v>
      </c>
      <c r="Q367" t="s">
        <v>2037</v>
      </c>
      <c r="R367" t="s">
        <v>2038</v>
      </c>
      <c r="S367" s="10">
        <f t="shared" si="24"/>
        <v>27285.424999999999</v>
      </c>
      <c r="T367" s="12">
        <f t="shared" si="23"/>
        <v>27288.125</v>
      </c>
    </row>
    <row r="368" spans="1:20" x14ac:dyDescent="0.35">
      <c r="A368">
        <v>366</v>
      </c>
      <c r="B368" s="4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6">
        <f t="shared" si="21"/>
        <v>592.11111111111109</v>
      </c>
      <c r="P368">
        <f t="shared" si="22"/>
        <v>105.52475247524752</v>
      </c>
      <c r="Q368" t="s">
        <v>2037</v>
      </c>
      <c r="R368" t="s">
        <v>2038</v>
      </c>
      <c r="S368" s="10">
        <f t="shared" si="24"/>
        <v>27066.724999999999</v>
      </c>
      <c r="T368" s="12">
        <f t="shared" si="23"/>
        <v>27066.825000000001</v>
      </c>
    </row>
    <row r="369" spans="1:20" x14ac:dyDescent="0.35">
      <c r="A369">
        <v>367</v>
      </c>
      <c r="B369" s="4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6">
        <f t="shared" si="21"/>
        <v>18.888888888888889</v>
      </c>
      <c r="P369">
        <f t="shared" si="22"/>
        <v>24.933333333333334</v>
      </c>
      <c r="Q369" t="s">
        <v>2037</v>
      </c>
      <c r="R369" t="s">
        <v>2038</v>
      </c>
      <c r="S369" s="10">
        <f t="shared" si="24"/>
        <v>27205.120833333334</v>
      </c>
      <c r="T369" s="12">
        <f t="shared" si="23"/>
        <v>27207.525000000001</v>
      </c>
    </row>
    <row r="370" spans="1:20" x14ac:dyDescent="0.35">
      <c r="A370">
        <v>368</v>
      </c>
      <c r="B370" s="4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6">
        <f t="shared" si="21"/>
        <v>276.80769230769232</v>
      </c>
      <c r="P370">
        <f t="shared" si="22"/>
        <v>69.873786407766985</v>
      </c>
      <c r="Q370" t="s">
        <v>2039</v>
      </c>
      <c r="R370" t="s">
        <v>2040</v>
      </c>
      <c r="S370" s="10">
        <f t="shared" si="24"/>
        <v>27058.520833333332</v>
      </c>
      <c r="T370" s="12">
        <f t="shared" si="23"/>
        <v>27060.820833333335</v>
      </c>
    </row>
    <row r="371" spans="1:20" x14ac:dyDescent="0.35">
      <c r="A371">
        <v>369</v>
      </c>
      <c r="B371" s="4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6">
        <f t="shared" si="21"/>
        <v>273.01851851851848</v>
      </c>
      <c r="P371">
        <f t="shared" si="22"/>
        <v>95.733766233766232</v>
      </c>
      <c r="Q371" t="s">
        <v>2039</v>
      </c>
      <c r="R371" t="s">
        <v>2058</v>
      </c>
      <c r="S371" s="10">
        <f t="shared" si="24"/>
        <v>27142.924999999999</v>
      </c>
      <c r="T371" s="12">
        <f t="shared" si="23"/>
        <v>27146.820833333335</v>
      </c>
    </row>
    <row r="372" spans="1:20" x14ac:dyDescent="0.35">
      <c r="A372">
        <v>370</v>
      </c>
      <c r="B372" s="4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6">
        <f t="shared" si="21"/>
        <v>159.36331255565449</v>
      </c>
      <c r="P372">
        <f t="shared" si="22"/>
        <v>29.997485752598056</v>
      </c>
      <c r="Q372" t="s">
        <v>2037</v>
      </c>
      <c r="R372" t="s">
        <v>2038</v>
      </c>
      <c r="S372" s="10">
        <f t="shared" si="24"/>
        <v>27369.120833333334</v>
      </c>
      <c r="T372" s="12">
        <f t="shared" si="23"/>
        <v>27369.720833333333</v>
      </c>
    </row>
    <row r="373" spans="1:20" x14ac:dyDescent="0.35">
      <c r="A373">
        <v>371</v>
      </c>
      <c r="B373" s="4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6">
        <f t="shared" si="21"/>
        <v>67.869978858350947</v>
      </c>
      <c r="P373">
        <f t="shared" si="22"/>
        <v>59.011948529411768</v>
      </c>
      <c r="Q373" t="s">
        <v>2037</v>
      </c>
      <c r="R373" t="s">
        <v>2038</v>
      </c>
      <c r="S373" s="10">
        <f t="shared" si="24"/>
        <v>27216.424999999999</v>
      </c>
      <c r="T373" s="12">
        <f t="shared" si="23"/>
        <v>27221.520833333332</v>
      </c>
    </row>
    <row r="374" spans="1:20" ht="31" x14ac:dyDescent="0.35">
      <c r="A374">
        <v>372</v>
      </c>
      <c r="B374" s="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6">
        <f t="shared" si="21"/>
        <v>1591.5555555555554</v>
      </c>
      <c r="P374">
        <f t="shared" si="22"/>
        <v>84.757396449704146</v>
      </c>
      <c r="Q374" t="s">
        <v>2039</v>
      </c>
      <c r="R374" t="s">
        <v>2040</v>
      </c>
      <c r="S374" s="10">
        <f t="shared" si="24"/>
        <v>27213.325000000001</v>
      </c>
      <c r="T374" s="12">
        <f t="shared" si="23"/>
        <v>27215.325000000001</v>
      </c>
    </row>
    <row r="375" spans="1:20" x14ac:dyDescent="0.35">
      <c r="A375">
        <v>373</v>
      </c>
      <c r="B375" s="4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6">
        <f t="shared" si="21"/>
        <v>730.18222222222221</v>
      </c>
      <c r="P375">
        <f t="shared" si="22"/>
        <v>78.010921177587846</v>
      </c>
      <c r="Q375" t="s">
        <v>2037</v>
      </c>
      <c r="R375" t="s">
        <v>2038</v>
      </c>
      <c r="S375" s="10">
        <f t="shared" si="24"/>
        <v>27308.520833333332</v>
      </c>
      <c r="T375" s="12">
        <f t="shared" si="23"/>
        <v>27309.320833333335</v>
      </c>
    </row>
    <row r="376" spans="1:20" ht="31" x14ac:dyDescent="0.35">
      <c r="A376">
        <v>374</v>
      </c>
      <c r="B376" s="4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6">
        <f t="shared" si="21"/>
        <v>13.185782556750297</v>
      </c>
      <c r="P376">
        <f t="shared" si="22"/>
        <v>50.05215419501134</v>
      </c>
      <c r="Q376" t="s">
        <v>2039</v>
      </c>
      <c r="R376" t="s">
        <v>2040</v>
      </c>
      <c r="S376" s="10">
        <f t="shared" si="24"/>
        <v>27359.724999999999</v>
      </c>
      <c r="T376" s="12">
        <f t="shared" si="23"/>
        <v>27360.224999999999</v>
      </c>
    </row>
    <row r="377" spans="1:20" ht="31" x14ac:dyDescent="0.35">
      <c r="A377">
        <v>375</v>
      </c>
      <c r="B377" s="4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6">
        <f t="shared" si="21"/>
        <v>54.777777777777779</v>
      </c>
      <c r="P377">
        <f t="shared" si="22"/>
        <v>59.16</v>
      </c>
      <c r="Q377" t="s">
        <v>2033</v>
      </c>
      <c r="R377" t="s">
        <v>2043</v>
      </c>
      <c r="S377" s="10">
        <f t="shared" si="24"/>
        <v>27241.420833333334</v>
      </c>
      <c r="T377" s="12">
        <f t="shared" si="23"/>
        <v>27247.125</v>
      </c>
    </row>
    <row r="378" spans="1:20" x14ac:dyDescent="0.35">
      <c r="A378">
        <v>376</v>
      </c>
      <c r="B378" s="4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6">
        <f t="shared" si="21"/>
        <v>361.02941176470591</v>
      </c>
      <c r="P378">
        <f t="shared" si="22"/>
        <v>93.702290076335885</v>
      </c>
      <c r="Q378" t="s">
        <v>2033</v>
      </c>
      <c r="R378" t="s">
        <v>2034</v>
      </c>
      <c r="S378" s="10">
        <f t="shared" si="24"/>
        <v>27194.720833333333</v>
      </c>
      <c r="T378" s="12">
        <f t="shared" si="23"/>
        <v>27195.320833333335</v>
      </c>
    </row>
    <row r="379" spans="1:20" x14ac:dyDescent="0.35">
      <c r="A379">
        <v>377</v>
      </c>
      <c r="B379" s="4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6">
        <f t="shared" si="21"/>
        <v>10.257545271629779</v>
      </c>
      <c r="P379">
        <f t="shared" si="22"/>
        <v>40.14173228346457</v>
      </c>
      <c r="Q379" t="s">
        <v>2037</v>
      </c>
      <c r="R379" t="s">
        <v>2038</v>
      </c>
      <c r="S379" s="10">
        <f t="shared" si="24"/>
        <v>27388.120833333334</v>
      </c>
      <c r="T379" s="12">
        <f t="shared" si="23"/>
        <v>27389.525000000001</v>
      </c>
    </row>
    <row r="380" spans="1:20" x14ac:dyDescent="0.35">
      <c r="A380">
        <v>378</v>
      </c>
      <c r="B380" s="4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6">
        <f t="shared" si="21"/>
        <v>13.962962962962964</v>
      </c>
      <c r="P380">
        <f t="shared" si="22"/>
        <v>70.090140845070422</v>
      </c>
      <c r="Q380" t="s">
        <v>2039</v>
      </c>
      <c r="R380" t="s">
        <v>2040</v>
      </c>
      <c r="S380" s="10">
        <f t="shared" si="24"/>
        <v>27336.220833333333</v>
      </c>
      <c r="T380" s="12">
        <f t="shared" si="23"/>
        <v>27340.020833333332</v>
      </c>
    </row>
    <row r="381" spans="1:20" x14ac:dyDescent="0.35">
      <c r="A381">
        <v>379</v>
      </c>
      <c r="B381" s="4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6">
        <f t="shared" si="21"/>
        <v>40.444444444444443</v>
      </c>
      <c r="P381">
        <f t="shared" si="22"/>
        <v>66.181818181818187</v>
      </c>
      <c r="Q381" t="s">
        <v>2037</v>
      </c>
      <c r="R381" t="s">
        <v>2038</v>
      </c>
      <c r="S381" s="10">
        <f t="shared" si="24"/>
        <v>27096.420833333334</v>
      </c>
      <c r="T381" s="12">
        <f t="shared" si="23"/>
        <v>27097.825000000001</v>
      </c>
    </row>
    <row r="382" spans="1:20" ht="31" x14ac:dyDescent="0.35">
      <c r="A382">
        <v>380</v>
      </c>
      <c r="B382" s="4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6">
        <f t="shared" si="21"/>
        <v>160.32</v>
      </c>
      <c r="P382">
        <f t="shared" si="22"/>
        <v>47.714285714285715</v>
      </c>
      <c r="Q382" t="s">
        <v>2037</v>
      </c>
      <c r="R382" t="s">
        <v>2038</v>
      </c>
      <c r="S382" s="10">
        <f t="shared" si="24"/>
        <v>27156.920833333334</v>
      </c>
      <c r="T382" s="12">
        <f t="shared" si="23"/>
        <v>27157.420833333334</v>
      </c>
    </row>
    <row r="383" spans="1:20" x14ac:dyDescent="0.35">
      <c r="A383">
        <v>381</v>
      </c>
      <c r="B383" s="4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6">
        <f t="shared" si="21"/>
        <v>183.9433962264151</v>
      </c>
      <c r="P383">
        <f t="shared" si="22"/>
        <v>62.896774193548389</v>
      </c>
      <c r="Q383" t="s">
        <v>2037</v>
      </c>
      <c r="R383" t="s">
        <v>2038</v>
      </c>
      <c r="S383" s="10">
        <f t="shared" si="24"/>
        <v>27228.420833333334</v>
      </c>
      <c r="T383" s="12">
        <f t="shared" si="23"/>
        <v>27233.020833333332</v>
      </c>
    </row>
    <row r="384" spans="1:20" ht="31" x14ac:dyDescent="0.35">
      <c r="A384">
        <v>382</v>
      </c>
      <c r="B384" s="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6">
        <f t="shared" si="21"/>
        <v>63.769230769230766</v>
      </c>
      <c r="P384">
        <f t="shared" si="22"/>
        <v>86.611940298507463</v>
      </c>
      <c r="Q384" t="s">
        <v>2052</v>
      </c>
      <c r="R384" t="s">
        <v>2053</v>
      </c>
      <c r="S384" s="10">
        <f t="shared" si="24"/>
        <v>27314.520833333332</v>
      </c>
      <c r="T384" s="12">
        <f t="shared" si="23"/>
        <v>27316.420833333334</v>
      </c>
    </row>
    <row r="385" spans="1:20" x14ac:dyDescent="0.35">
      <c r="A385">
        <v>383</v>
      </c>
      <c r="B385" s="4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6">
        <f t="shared" si="21"/>
        <v>225.38095238095238</v>
      </c>
      <c r="P385">
        <f t="shared" si="22"/>
        <v>75.126984126984127</v>
      </c>
      <c r="Q385" t="s">
        <v>2031</v>
      </c>
      <c r="R385" t="s">
        <v>2032</v>
      </c>
      <c r="S385" s="10">
        <f t="shared" si="24"/>
        <v>27363.025000000001</v>
      </c>
      <c r="T385" s="12">
        <f t="shared" si="23"/>
        <v>27363.625</v>
      </c>
    </row>
    <row r="386" spans="1:20" x14ac:dyDescent="0.35">
      <c r="A386">
        <v>384</v>
      </c>
      <c r="B386" s="4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6">
        <f t="shared" si="21"/>
        <v>172.00961538461539</v>
      </c>
      <c r="P386">
        <f t="shared" si="22"/>
        <v>41.004167534903104</v>
      </c>
      <c r="Q386" t="s">
        <v>2039</v>
      </c>
      <c r="R386" t="s">
        <v>2040</v>
      </c>
      <c r="S386" s="10">
        <f t="shared" si="24"/>
        <v>27289.724999999999</v>
      </c>
      <c r="T386" s="12">
        <f t="shared" si="23"/>
        <v>27292.424999999999</v>
      </c>
    </row>
    <row r="387" spans="1:20" ht="31" x14ac:dyDescent="0.35">
      <c r="A387">
        <v>385</v>
      </c>
      <c r="B387" s="4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6">
        <f t="shared" ref="O387:O450" si="25">MAX(0,(E387/D387)*100)</f>
        <v>146.16709511568124</v>
      </c>
      <c r="P387">
        <f t="shared" ref="P387:P450" si="26">IFERROR(AVERAGE(E387/G387),0)</f>
        <v>50.007915567282325</v>
      </c>
      <c r="Q387" t="s">
        <v>2045</v>
      </c>
      <c r="R387" t="s">
        <v>2046</v>
      </c>
      <c r="S387" s="10">
        <f t="shared" si="24"/>
        <v>27367.420833333334</v>
      </c>
      <c r="T387" s="12">
        <f t="shared" ref="T387:T450" si="27">K387/864000+DATE(1970,1,1)</f>
        <v>27370.620833333334</v>
      </c>
    </row>
    <row r="388" spans="1:20" ht="31" x14ac:dyDescent="0.35">
      <c r="A388">
        <v>386</v>
      </c>
      <c r="B388" s="4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6">
        <f t="shared" si="25"/>
        <v>76.42361623616236</v>
      </c>
      <c r="P388">
        <f t="shared" si="26"/>
        <v>96.960674157303373</v>
      </c>
      <c r="Q388" t="s">
        <v>2037</v>
      </c>
      <c r="R388" t="s">
        <v>2038</v>
      </c>
      <c r="S388" s="10">
        <f t="shared" si="24"/>
        <v>27047.620833333334</v>
      </c>
      <c r="T388" s="12">
        <f t="shared" si="27"/>
        <v>27048.820833333335</v>
      </c>
    </row>
    <row r="389" spans="1:20" x14ac:dyDescent="0.35">
      <c r="A389">
        <v>387</v>
      </c>
      <c r="B389" s="4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6">
        <f t="shared" si="25"/>
        <v>39.261467889908261</v>
      </c>
      <c r="P389">
        <f t="shared" si="26"/>
        <v>100.93160377358491</v>
      </c>
      <c r="Q389" t="s">
        <v>2035</v>
      </c>
      <c r="R389" t="s">
        <v>2044</v>
      </c>
      <c r="S389" s="10">
        <f t="shared" si="24"/>
        <v>27119.320833333335</v>
      </c>
      <c r="T389" s="12">
        <f t="shared" si="27"/>
        <v>27119.820833333335</v>
      </c>
    </row>
    <row r="390" spans="1:20" x14ac:dyDescent="0.35">
      <c r="A390">
        <v>388</v>
      </c>
      <c r="B390" s="4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6">
        <f t="shared" si="25"/>
        <v>11.270034843205574</v>
      </c>
      <c r="P390">
        <f t="shared" si="26"/>
        <v>89.227586206896547</v>
      </c>
      <c r="Q390" t="s">
        <v>2033</v>
      </c>
      <c r="R390" t="s">
        <v>2043</v>
      </c>
      <c r="S390" s="10">
        <f t="shared" si="24"/>
        <v>27103.325000000001</v>
      </c>
      <c r="T390" s="12">
        <f t="shared" si="27"/>
        <v>27103.525000000001</v>
      </c>
    </row>
    <row r="391" spans="1:20" x14ac:dyDescent="0.35">
      <c r="A391">
        <v>389</v>
      </c>
      <c r="B391" s="4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6">
        <f t="shared" si="25"/>
        <v>122.11084337349398</v>
      </c>
      <c r="P391">
        <f t="shared" si="26"/>
        <v>87.979166666666671</v>
      </c>
      <c r="Q391" t="s">
        <v>2037</v>
      </c>
      <c r="R391" t="s">
        <v>2038</v>
      </c>
      <c r="S391" s="10">
        <f t="shared" si="24"/>
        <v>27060.020833333332</v>
      </c>
      <c r="T391" s="12">
        <f t="shared" si="27"/>
        <v>27062.724999999999</v>
      </c>
    </row>
    <row r="392" spans="1:20" x14ac:dyDescent="0.35">
      <c r="A392">
        <v>390</v>
      </c>
      <c r="B392" s="4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6">
        <f t="shared" si="25"/>
        <v>186.54166666666669</v>
      </c>
      <c r="P392">
        <f t="shared" si="26"/>
        <v>89.54</v>
      </c>
      <c r="Q392" t="s">
        <v>2052</v>
      </c>
      <c r="R392" t="s">
        <v>2053</v>
      </c>
      <c r="S392" s="10">
        <f t="shared" si="24"/>
        <v>27165.120833333334</v>
      </c>
      <c r="T392" s="12">
        <f t="shared" si="27"/>
        <v>27166.620833333334</v>
      </c>
    </row>
    <row r="393" spans="1:20" x14ac:dyDescent="0.35">
      <c r="A393">
        <v>391</v>
      </c>
      <c r="B393" s="4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6">
        <f t="shared" si="25"/>
        <v>7.2731788079470201</v>
      </c>
      <c r="P393">
        <f t="shared" si="26"/>
        <v>29.09271523178808</v>
      </c>
      <c r="Q393" t="s">
        <v>2045</v>
      </c>
      <c r="R393" t="s">
        <v>2046</v>
      </c>
      <c r="S393" s="10">
        <f t="shared" si="24"/>
        <v>27177.424999999999</v>
      </c>
      <c r="T393" s="12">
        <f t="shared" si="27"/>
        <v>27177.625</v>
      </c>
    </row>
    <row r="394" spans="1:20" ht="31" x14ac:dyDescent="0.35">
      <c r="A394">
        <v>392</v>
      </c>
      <c r="B394" s="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6">
        <f t="shared" si="25"/>
        <v>65.642371234207957</v>
      </c>
      <c r="P394">
        <f t="shared" si="26"/>
        <v>42.006218905472636</v>
      </c>
      <c r="Q394" t="s">
        <v>2035</v>
      </c>
      <c r="R394" t="s">
        <v>2044</v>
      </c>
      <c r="S394" s="10">
        <f t="shared" si="24"/>
        <v>27067.025000000001</v>
      </c>
      <c r="T394" s="12">
        <f t="shared" si="27"/>
        <v>27067.224999999999</v>
      </c>
    </row>
    <row r="395" spans="1:20" x14ac:dyDescent="0.35">
      <c r="A395">
        <v>393</v>
      </c>
      <c r="B395" s="4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6">
        <f t="shared" si="25"/>
        <v>228.96178343949046</v>
      </c>
      <c r="P395">
        <f t="shared" si="26"/>
        <v>47.004903563255965</v>
      </c>
      <c r="Q395" t="s">
        <v>2033</v>
      </c>
      <c r="R395" t="s">
        <v>2056</v>
      </c>
      <c r="S395" s="10">
        <f t="shared" si="24"/>
        <v>27305.420833333334</v>
      </c>
      <c r="T395" s="12">
        <f t="shared" si="27"/>
        <v>27305.520833333332</v>
      </c>
    </row>
    <row r="396" spans="1:20" x14ac:dyDescent="0.35">
      <c r="A396">
        <v>394</v>
      </c>
      <c r="B396" s="4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6">
        <f t="shared" si="25"/>
        <v>469.37499999999994</v>
      </c>
      <c r="P396">
        <f t="shared" si="26"/>
        <v>110.44117647058823</v>
      </c>
      <c r="Q396" t="s">
        <v>2039</v>
      </c>
      <c r="R396" t="s">
        <v>2040</v>
      </c>
      <c r="S396" s="10">
        <f t="shared" si="24"/>
        <v>27160.520833333332</v>
      </c>
      <c r="T396" s="12">
        <f t="shared" si="27"/>
        <v>27161.520833333332</v>
      </c>
    </row>
    <row r="397" spans="1:20" ht="31" x14ac:dyDescent="0.35">
      <c r="A397">
        <v>395</v>
      </c>
      <c r="B397" s="4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6">
        <f t="shared" si="25"/>
        <v>130.11267605633802</v>
      </c>
      <c r="P397">
        <f t="shared" si="26"/>
        <v>41.990909090909092</v>
      </c>
      <c r="Q397" t="s">
        <v>2037</v>
      </c>
      <c r="R397" t="s">
        <v>2038</v>
      </c>
      <c r="S397" s="10">
        <f t="shared" ref="S397:S460" si="28">J:J/864000+DATE(1970,1,1)</f>
        <v>27100.625</v>
      </c>
      <c r="T397" s="12">
        <f t="shared" si="27"/>
        <v>27100.724999999999</v>
      </c>
    </row>
    <row r="398" spans="1:20" x14ac:dyDescent="0.35">
      <c r="A398">
        <v>396</v>
      </c>
      <c r="B398" s="4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6">
        <f t="shared" si="25"/>
        <v>167.05422993492408</v>
      </c>
      <c r="P398">
        <f t="shared" si="26"/>
        <v>48.012468827930178</v>
      </c>
      <c r="Q398" t="s">
        <v>2039</v>
      </c>
      <c r="R398" t="s">
        <v>2042</v>
      </c>
      <c r="S398" s="10">
        <f t="shared" si="28"/>
        <v>27349.920833333334</v>
      </c>
      <c r="T398" s="12">
        <f t="shared" si="27"/>
        <v>27350.720833333333</v>
      </c>
    </row>
    <row r="399" spans="1:20" x14ac:dyDescent="0.35">
      <c r="A399">
        <v>397</v>
      </c>
      <c r="B399" s="4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6">
        <f t="shared" si="25"/>
        <v>173.8641975308642</v>
      </c>
      <c r="P399">
        <f t="shared" si="26"/>
        <v>31.019823788546255</v>
      </c>
      <c r="Q399" t="s">
        <v>2033</v>
      </c>
      <c r="R399" t="s">
        <v>2034</v>
      </c>
      <c r="S399" s="10">
        <f t="shared" si="28"/>
        <v>27153.820833333335</v>
      </c>
      <c r="T399" s="12">
        <f t="shared" si="27"/>
        <v>27154.420833333334</v>
      </c>
    </row>
    <row r="400" spans="1:20" ht="31" x14ac:dyDescent="0.35">
      <c r="A400">
        <v>398</v>
      </c>
      <c r="B400" s="4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6">
        <f t="shared" si="25"/>
        <v>717.76470588235293</v>
      </c>
      <c r="P400">
        <f t="shared" si="26"/>
        <v>99.203252032520325</v>
      </c>
      <c r="Q400" t="s">
        <v>2039</v>
      </c>
      <c r="R400" t="s">
        <v>2047</v>
      </c>
      <c r="S400" s="10">
        <f t="shared" si="28"/>
        <v>27334.920833333334</v>
      </c>
      <c r="T400" s="12">
        <f t="shared" si="27"/>
        <v>27335.120833333334</v>
      </c>
    </row>
    <row r="401" spans="1:20" x14ac:dyDescent="0.35">
      <c r="A401">
        <v>399</v>
      </c>
      <c r="B401" s="4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6">
        <f t="shared" si="25"/>
        <v>63.850976361767728</v>
      </c>
      <c r="P401">
        <f t="shared" si="26"/>
        <v>66.022316684378325</v>
      </c>
      <c r="Q401" t="s">
        <v>2033</v>
      </c>
      <c r="R401" t="s">
        <v>2043</v>
      </c>
      <c r="S401" s="10">
        <f t="shared" si="28"/>
        <v>27069.724999999999</v>
      </c>
      <c r="T401" s="12">
        <f t="shared" si="27"/>
        <v>27070.424999999999</v>
      </c>
    </row>
    <row r="402" spans="1:20" ht="31" x14ac:dyDescent="0.35">
      <c r="A402">
        <v>400</v>
      </c>
      <c r="B402" s="4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6">
        <f t="shared" si="25"/>
        <v>2</v>
      </c>
      <c r="P402">
        <f t="shared" si="26"/>
        <v>2</v>
      </c>
      <c r="Q402" t="s">
        <v>2052</v>
      </c>
      <c r="R402" t="s">
        <v>2053</v>
      </c>
      <c r="S402" s="10">
        <f t="shared" si="28"/>
        <v>27162.320833333335</v>
      </c>
      <c r="T402" s="12">
        <f t="shared" si="27"/>
        <v>27164.520833333332</v>
      </c>
    </row>
    <row r="403" spans="1:20" x14ac:dyDescent="0.35">
      <c r="A403">
        <v>401</v>
      </c>
      <c r="B403" s="4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6">
        <f t="shared" si="25"/>
        <v>1530.2222222222222</v>
      </c>
      <c r="P403">
        <f t="shared" si="26"/>
        <v>46.060200668896321</v>
      </c>
      <c r="Q403" t="s">
        <v>2037</v>
      </c>
      <c r="R403" t="s">
        <v>2038</v>
      </c>
      <c r="S403" s="10">
        <f t="shared" si="28"/>
        <v>27388.620833333334</v>
      </c>
      <c r="T403" s="12">
        <f t="shared" si="27"/>
        <v>27388.620833333334</v>
      </c>
    </row>
    <row r="404" spans="1:20" x14ac:dyDescent="0.35">
      <c r="A404">
        <v>402</v>
      </c>
      <c r="B404" s="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6">
        <f t="shared" si="25"/>
        <v>40.356164383561641</v>
      </c>
      <c r="P404">
        <f t="shared" si="26"/>
        <v>73.650000000000006</v>
      </c>
      <c r="Q404" t="s">
        <v>2039</v>
      </c>
      <c r="R404" t="s">
        <v>2050</v>
      </c>
      <c r="S404" s="10">
        <f t="shared" si="28"/>
        <v>27103.525000000001</v>
      </c>
      <c r="T404" s="12">
        <f t="shared" si="27"/>
        <v>27108.224999999999</v>
      </c>
    </row>
    <row r="405" spans="1:20" x14ac:dyDescent="0.35">
      <c r="A405">
        <v>403</v>
      </c>
      <c r="B405" s="4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6">
        <f t="shared" si="25"/>
        <v>86.220633299284984</v>
      </c>
      <c r="P405">
        <f t="shared" si="26"/>
        <v>55.99336650082919</v>
      </c>
      <c r="Q405" t="s">
        <v>2037</v>
      </c>
      <c r="R405" t="s">
        <v>2038</v>
      </c>
      <c r="S405" s="10">
        <f t="shared" si="28"/>
        <v>27043.120833333334</v>
      </c>
      <c r="T405" s="12">
        <f t="shared" si="27"/>
        <v>27046.720833333333</v>
      </c>
    </row>
    <row r="406" spans="1:20" x14ac:dyDescent="0.35">
      <c r="A406">
        <v>404</v>
      </c>
      <c r="B406" s="4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6">
        <f t="shared" si="25"/>
        <v>315.58486707566465</v>
      </c>
      <c r="P406">
        <f t="shared" si="26"/>
        <v>68.985695127402778</v>
      </c>
      <c r="Q406" t="s">
        <v>2037</v>
      </c>
      <c r="R406" t="s">
        <v>2038</v>
      </c>
      <c r="S406" s="10">
        <f t="shared" si="28"/>
        <v>27317.424999999999</v>
      </c>
      <c r="T406" s="12">
        <f t="shared" si="27"/>
        <v>27317.724999999999</v>
      </c>
    </row>
    <row r="407" spans="1:20" x14ac:dyDescent="0.35">
      <c r="A407">
        <v>405</v>
      </c>
      <c r="B407" s="4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6">
        <f t="shared" si="25"/>
        <v>89.618243243243242</v>
      </c>
      <c r="P407">
        <f t="shared" si="26"/>
        <v>60.981609195402299</v>
      </c>
      <c r="Q407" t="s">
        <v>2037</v>
      </c>
      <c r="R407" t="s">
        <v>2038</v>
      </c>
      <c r="S407" s="10">
        <f t="shared" si="28"/>
        <v>27337.620833333334</v>
      </c>
      <c r="T407" s="12">
        <f t="shared" si="27"/>
        <v>27342.620833333334</v>
      </c>
    </row>
    <row r="408" spans="1:20" x14ac:dyDescent="0.35">
      <c r="A408">
        <v>406</v>
      </c>
      <c r="B408" s="4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6">
        <f t="shared" si="25"/>
        <v>182.14503816793894</v>
      </c>
      <c r="P408">
        <f t="shared" si="26"/>
        <v>110.98139534883721</v>
      </c>
      <c r="Q408" t="s">
        <v>2039</v>
      </c>
      <c r="R408" t="s">
        <v>2040</v>
      </c>
      <c r="S408" s="10">
        <f t="shared" si="28"/>
        <v>27142.525000000001</v>
      </c>
      <c r="T408" s="12">
        <f t="shared" si="27"/>
        <v>27143.724999999999</v>
      </c>
    </row>
    <row r="409" spans="1:20" x14ac:dyDescent="0.35">
      <c r="A409">
        <v>407</v>
      </c>
      <c r="B409" s="4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6">
        <f t="shared" si="25"/>
        <v>355.88235294117646</v>
      </c>
      <c r="P409">
        <f t="shared" si="26"/>
        <v>25</v>
      </c>
      <c r="Q409" t="s">
        <v>2037</v>
      </c>
      <c r="R409" t="s">
        <v>2038</v>
      </c>
      <c r="S409" s="10">
        <f t="shared" si="28"/>
        <v>27387.220833333333</v>
      </c>
      <c r="T409" s="12">
        <f t="shared" si="27"/>
        <v>27387.920833333334</v>
      </c>
    </row>
    <row r="410" spans="1:20" x14ac:dyDescent="0.35">
      <c r="A410">
        <v>408</v>
      </c>
      <c r="B410" s="4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6">
        <f t="shared" si="25"/>
        <v>131.83695652173913</v>
      </c>
      <c r="P410">
        <f t="shared" si="26"/>
        <v>78.759740259740255</v>
      </c>
      <c r="Q410" t="s">
        <v>2039</v>
      </c>
      <c r="R410" t="s">
        <v>2040</v>
      </c>
      <c r="S410" s="10">
        <f t="shared" si="28"/>
        <v>27266.220833333333</v>
      </c>
      <c r="T410" s="12">
        <f t="shared" si="27"/>
        <v>27268.220833333333</v>
      </c>
    </row>
    <row r="411" spans="1:20" x14ac:dyDescent="0.35">
      <c r="A411">
        <v>409</v>
      </c>
      <c r="B411" s="4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6">
        <f t="shared" si="25"/>
        <v>46.315634218289084</v>
      </c>
      <c r="P411">
        <f t="shared" si="26"/>
        <v>87.960784313725483</v>
      </c>
      <c r="Q411" t="s">
        <v>2033</v>
      </c>
      <c r="R411" t="s">
        <v>2034</v>
      </c>
      <c r="S411" s="10">
        <f t="shared" si="28"/>
        <v>27296.420833333334</v>
      </c>
      <c r="T411" s="12">
        <f t="shared" si="27"/>
        <v>27296.820833333335</v>
      </c>
    </row>
    <row r="412" spans="1:20" x14ac:dyDescent="0.35">
      <c r="A412">
        <v>410</v>
      </c>
      <c r="B412" s="4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6">
        <f t="shared" si="25"/>
        <v>36.132726089785294</v>
      </c>
      <c r="P412">
        <f t="shared" si="26"/>
        <v>49.987398739873989</v>
      </c>
      <c r="Q412" t="s">
        <v>2048</v>
      </c>
      <c r="R412" t="s">
        <v>2059</v>
      </c>
      <c r="S412" s="10">
        <f t="shared" si="28"/>
        <v>27224.320833333335</v>
      </c>
      <c r="T412" s="12">
        <f t="shared" si="27"/>
        <v>27224.320833333335</v>
      </c>
    </row>
    <row r="413" spans="1:20" x14ac:dyDescent="0.35">
      <c r="A413">
        <v>411</v>
      </c>
      <c r="B413" s="4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6">
        <f t="shared" si="25"/>
        <v>104.62820512820512</v>
      </c>
      <c r="P413">
        <f t="shared" si="26"/>
        <v>99.524390243902445</v>
      </c>
      <c r="Q413" t="s">
        <v>2037</v>
      </c>
      <c r="R413" t="s">
        <v>2038</v>
      </c>
      <c r="S413" s="10">
        <f t="shared" si="28"/>
        <v>27300.520833333332</v>
      </c>
      <c r="T413" s="12">
        <f t="shared" si="27"/>
        <v>27300.720833333333</v>
      </c>
    </row>
    <row r="414" spans="1:20" x14ac:dyDescent="0.35">
      <c r="A414">
        <v>412</v>
      </c>
      <c r="B414" s="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6">
        <f t="shared" si="25"/>
        <v>668.85714285714289</v>
      </c>
      <c r="P414">
        <f t="shared" si="26"/>
        <v>104.82089552238806</v>
      </c>
      <c r="Q414" t="s">
        <v>2045</v>
      </c>
      <c r="R414" t="s">
        <v>2051</v>
      </c>
      <c r="S414" s="10">
        <f t="shared" si="28"/>
        <v>27176.325000000001</v>
      </c>
      <c r="T414" s="12">
        <f t="shared" si="27"/>
        <v>27177.325000000001</v>
      </c>
    </row>
    <row r="415" spans="1:20" x14ac:dyDescent="0.35">
      <c r="A415">
        <v>413</v>
      </c>
      <c r="B415" s="4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6">
        <f t="shared" si="25"/>
        <v>62.072823218997364</v>
      </c>
      <c r="P415">
        <f t="shared" si="26"/>
        <v>108.01469237832875</v>
      </c>
      <c r="Q415" t="s">
        <v>2039</v>
      </c>
      <c r="R415" t="s">
        <v>2047</v>
      </c>
      <c r="S415" s="10">
        <f t="shared" si="28"/>
        <v>27355.224999999999</v>
      </c>
      <c r="T415" s="12">
        <f t="shared" si="27"/>
        <v>27357.924999999999</v>
      </c>
    </row>
    <row r="416" spans="1:20" x14ac:dyDescent="0.35">
      <c r="A416">
        <v>414</v>
      </c>
      <c r="B416" s="4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6">
        <f t="shared" si="25"/>
        <v>84.699787460148784</v>
      </c>
      <c r="P416">
        <f t="shared" si="26"/>
        <v>28.998544660724033</v>
      </c>
      <c r="Q416" t="s">
        <v>2031</v>
      </c>
      <c r="R416" t="s">
        <v>2032</v>
      </c>
      <c r="S416" s="10">
        <f t="shared" si="28"/>
        <v>27040.920833333334</v>
      </c>
      <c r="T416" s="12">
        <f t="shared" si="27"/>
        <v>27041.720833333333</v>
      </c>
    </row>
    <row r="417" spans="1:20" x14ac:dyDescent="0.35">
      <c r="A417">
        <v>415</v>
      </c>
      <c r="B417" s="4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6">
        <f t="shared" si="25"/>
        <v>11.059030837004405</v>
      </c>
      <c r="P417">
        <f t="shared" si="26"/>
        <v>30.028708133971293</v>
      </c>
      <c r="Q417" t="s">
        <v>2037</v>
      </c>
      <c r="R417" t="s">
        <v>2038</v>
      </c>
      <c r="S417" s="10">
        <f t="shared" si="28"/>
        <v>27104.224999999999</v>
      </c>
      <c r="T417" s="12">
        <f t="shared" si="27"/>
        <v>27105.924999999999</v>
      </c>
    </row>
    <row r="418" spans="1:20" ht="31" x14ac:dyDescent="0.35">
      <c r="A418">
        <v>416</v>
      </c>
      <c r="B418" s="4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6">
        <f t="shared" si="25"/>
        <v>43.838781575037146</v>
      </c>
      <c r="P418">
        <f t="shared" si="26"/>
        <v>41.005559416261292</v>
      </c>
      <c r="Q418" t="s">
        <v>2039</v>
      </c>
      <c r="R418" t="s">
        <v>2040</v>
      </c>
      <c r="S418" s="10">
        <f t="shared" si="28"/>
        <v>27068.125</v>
      </c>
      <c r="T418" s="12">
        <f t="shared" si="27"/>
        <v>27069.025000000001</v>
      </c>
    </row>
    <row r="419" spans="1:20" x14ac:dyDescent="0.35">
      <c r="A419">
        <v>417</v>
      </c>
      <c r="B419" s="4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6">
        <f t="shared" si="25"/>
        <v>55.470588235294116</v>
      </c>
      <c r="P419">
        <f t="shared" si="26"/>
        <v>62.866666666666667</v>
      </c>
      <c r="Q419" t="s">
        <v>2037</v>
      </c>
      <c r="R419" t="s">
        <v>2038</v>
      </c>
      <c r="S419" s="10">
        <f t="shared" si="28"/>
        <v>27352.820833333335</v>
      </c>
      <c r="T419" s="12">
        <f t="shared" si="27"/>
        <v>27355.224999999999</v>
      </c>
    </row>
    <row r="420" spans="1:20" x14ac:dyDescent="0.35">
      <c r="A420">
        <v>418</v>
      </c>
      <c r="B420" s="4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6">
        <f t="shared" si="25"/>
        <v>57.399511301160658</v>
      </c>
      <c r="P420">
        <f t="shared" si="26"/>
        <v>47.005002501250623</v>
      </c>
      <c r="Q420" t="s">
        <v>2039</v>
      </c>
      <c r="R420" t="s">
        <v>2040</v>
      </c>
      <c r="S420" s="10">
        <f t="shared" si="28"/>
        <v>27115.620833333334</v>
      </c>
      <c r="T420" s="12">
        <f t="shared" si="27"/>
        <v>27115.720833333333</v>
      </c>
    </row>
    <row r="421" spans="1:20" x14ac:dyDescent="0.35">
      <c r="A421">
        <v>419</v>
      </c>
      <c r="B421" s="4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6">
        <f t="shared" si="25"/>
        <v>123.43497363796135</v>
      </c>
      <c r="P421">
        <f t="shared" si="26"/>
        <v>26.997693638285604</v>
      </c>
      <c r="Q421" t="s">
        <v>2035</v>
      </c>
      <c r="R421" t="s">
        <v>2036</v>
      </c>
      <c r="S421" s="10">
        <f t="shared" si="28"/>
        <v>27102.025000000001</v>
      </c>
      <c r="T421" s="12">
        <f t="shared" si="27"/>
        <v>27102.625</v>
      </c>
    </row>
    <row r="422" spans="1:20" x14ac:dyDescent="0.35">
      <c r="A422">
        <v>420</v>
      </c>
      <c r="B422" s="4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6">
        <f t="shared" si="25"/>
        <v>128.46</v>
      </c>
      <c r="P422">
        <f t="shared" si="26"/>
        <v>68.329787234042556</v>
      </c>
      <c r="Q422" t="s">
        <v>2037</v>
      </c>
      <c r="R422" t="s">
        <v>2038</v>
      </c>
      <c r="S422" s="10">
        <f t="shared" si="28"/>
        <v>27303.220833333333</v>
      </c>
      <c r="T422" s="12">
        <f t="shared" si="27"/>
        <v>27304.620833333334</v>
      </c>
    </row>
    <row r="423" spans="1:20" x14ac:dyDescent="0.35">
      <c r="A423">
        <v>421</v>
      </c>
      <c r="B423" s="4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6">
        <f t="shared" si="25"/>
        <v>63.989361702127653</v>
      </c>
      <c r="P423">
        <f t="shared" si="26"/>
        <v>50.974576271186443</v>
      </c>
      <c r="Q423" t="s">
        <v>2035</v>
      </c>
      <c r="R423" t="s">
        <v>2044</v>
      </c>
      <c r="S423" s="10">
        <f t="shared" si="28"/>
        <v>27303.620833333334</v>
      </c>
      <c r="T423" s="12">
        <f t="shared" si="27"/>
        <v>27306.620833333334</v>
      </c>
    </row>
    <row r="424" spans="1:20" ht="31" x14ac:dyDescent="0.35">
      <c r="A424">
        <v>422</v>
      </c>
      <c r="B424" s="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6">
        <f t="shared" si="25"/>
        <v>127.29885057471265</v>
      </c>
      <c r="P424">
        <f t="shared" si="26"/>
        <v>54.024390243902438</v>
      </c>
      <c r="Q424" t="s">
        <v>2037</v>
      </c>
      <c r="R424" t="s">
        <v>2038</v>
      </c>
      <c r="S424" s="10">
        <f t="shared" si="28"/>
        <v>27040.620833333334</v>
      </c>
      <c r="T424" s="12">
        <f t="shared" si="27"/>
        <v>27042.620833333334</v>
      </c>
    </row>
    <row r="425" spans="1:20" x14ac:dyDescent="0.35">
      <c r="A425">
        <v>423</v>
      </c>
      <c r="B425" s="4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6">
        <f t="shared" si="25"/>
        <v>10.638024357239512</v>
      </c>
      <c r="P425">
        <f t="shared" si="26"/>
        <v>97.055555555555557</v>
      </c>
      <c r="Q425" t="s">
        <v>2031</v>
      </c>
      <c r="R425" t="s">
        <v>2032</v>
      </c>
      <c r="S425" s="10">
        <f t="shared" si="28"/>
        <v>27092.920833333334</v>
      </c>
      <c r="T425" s="12">
        <f t="shared" si="27"/>
        <v>27093.120833333334</v>
      </c>
    </row>
    <row r="426" spans="1:20" x14ac:dyDescent="0.35">
      <c r="A426">
        <v>424</v>
      </c>
      <c r="B426" s="4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6">
        <f t="shared" si="25"/>
        <v>40.470588235294116</v>
      </c>
      <c r="P426">
        <f t="shared" si="26"/>
        <v>24.867469879518072</v>
      </c>
      <c r="Q426" t="s">
        <v>2033</v>
      </c>
      <c r="R426" t="s">
        <v>2043</v>
      </c>
      <c r="S426" s="10">
        <f t="shared" si="28"/>
        <v>27332.920833333334</v>
      </c>
      <c r="T426" s="12">
        <f t="shared" si="27"/>
        <v>27333.520833333332</v>
      </c>
    </row>
    <row r="427" spans="1:20" x14ac:dyDescent="0.35">
      <c r="A427">
        <v>425</v>
      </c>
      <c r="B427" s="4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6">
        <f t="shared" si="25"/>
        <v>287.66666666666663</v>
      </c>
      <c r="P427">
        <f t="shared" si="26"/>
        <v>84.423913043478265</v>
      </c>
      <c r="Q427" t="s">
        <v>2052</v>
      </c>
      <c r="R427" t="s">
        <v>2053</v>
      </c>
      <c r="S427" s="10">
        <f t="shared" si="28"/>
        <v>27233.420833333334</v>
      </c>
      <c r="T427" s="12">
        <f t="shared" si="27"/>
        <v>27234.020833333332</v>
      </c>
    </row>
    <row r="428" spans="1:20" x14ac:dyDescent="0.35">
      <c r="A428">
        <v>426</v>
      </c>
      <c r="B428" s="4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6">
        <f t="shared" si="25"/>
        <v>572.94444444444446</v>
      </c>
      <c r="P428">
        <f t="shared" si="26"/>
        <v>47.091324200913242</v>
      </c>
      <c r="Q428" t="s">
        <v>2037</v>
      </c>
      <c r="R428" t="s">
        <v>2038</v>
      </c>
      <c r="S428" s="10">
        <f t="shared" si="28"/>
        <v>27145.325000000001</v>
      </c>
      <c r="T428" s="12">
        <f t="shared" si="27"/>
        <v>27146.025000000001</v>
      </c>
    </row>
    <row r="429" spans="1:20" x14ac:dyDescent="0.35">
      <c r="A429">
        <v>427</v>
      </c>
      <c r="B429" s="4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6">
        <f t="shared" si="25"/>
        <v>112.90429799426933</v>
      </c>
      <c r="P429">
        <f t="shared" si="26"/>
        <v>77.996041171813147</v>
      </c>
      <c r="Q429" t="s">
        <v>2037</v>
      </c>
      <c r="R429" t="s">
        <v>2038</v>
      </c>
      <c r="S429" s="10">
        <f t="shared" si="28"/>
        <v>27201.620833333334</v>
      </c>
      <c r="T429" s="12">
        <f t="shared" si="27"/>
        <v>27204.820833333335</v>
      </c>
    </row>
    <row r="430" spans="1:20" x14ac:dyDescent="0.35">
      <c r="A430">
        <v>428</v>
      </c>
      <c r="B430" s="4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6">
        <f t="shared" si="25"/>
        <v>46.387573964497044</v>
      </c>
      <c r="P430">
        <f t="shared" si="26"/>
        <v>62.967871485943775</v>
      </c>
      <c r="Q430" t="s">
        <v>2039</v>
      </c>
      <c r="R430" t="s">
        <v>2047</v>
      </c>
      <c r="S430" s="10">
        <f t="shared" si="28"/>
        <v>27070.625</v>
      </c>
      <c r="T430" s="12">
        <f t="shared" si="27"/>
        <v>27071.325000000001</v>
      </c>
    </row>
    <row r="431" spans="1:20" x14ac:dyDescent="0.35">
      <c r="A431">
        <v>429</v>
      </c>
      <c r="B431" s="4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6">
        <f t="shared" si="25"/>
        <v>90.675916230366497</v>
      </c>
      <c r="P431">
        <f t="shared" si="26"/>
        <v>81.006080449017773</v>
      </c>
      <c r="Q431" t="s">
        <v>2052</v>
      </c>
      <c r="R431" t="s">
        <v>2053</v>
      </c>
      <c r="S431" s="10">
        <f t="shared" si="28"/>
        <v>27180.125</v>
      </c>
      <c r="T431" s="12">
        <f t="shared" si="27"/>
        <v>27182.920833333334</v>
      </c>
    </row>
    <row r="432" spans="1:20" x14ac:dyDescent="0.35">
      <c r="A432">
        <v>430</v>
      </c>
      <c r="B432" s="4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6">
        <f t="shared" si="25"/>
        <v>67.740740740740748</v>
      </c>
      <c r="P432">
        <f t="shared" si="26"/>
        <v>65.321428571428569</v>
      </c>
      <c r="Q432" t="s">
        <v>2037</v>
      </c>
      <c r="R432" t="s">
        <v>2038</v>
      </c>
      <c r="S432" s="10">
        <f t="shared" si="28"/>
        <v>27385.820833333335</v>
      </c>
      <c r="T432" s="12">
        <f t="shared" si="27"/>
        <v>27389.220833333333</v>
      </c>
    </row>
    <row r="433" spans="1:20" x14ac:dyDescent="0.35">
      <c r="A433">
        <v>431</v>
      </c>
      <c r="B433" s="4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6">
        <f t="shared" si="25"/>
        <v>192.49019607843135</v>
      </c>
      <c r="P433">
        <f t="shared" si="26"/>
        <v>104.43617021276596</v>
      </c>
      <c r="Q433" t="s">
        <v>2037</v>
      </c>
      <c r="R433" t="s">
        <v>2038</v>
      </c>
      <c r="S433" s="10">
        <f t="shared" si="28"/>
        <v>27339.420833333334</v>
      </c>
      <c r="T433" s="12">
        <f t="shared" si="27"/>
        <v>27341.120833333334</v>
      </c>
    </row>
    <row r="434" spans="1:20" x14ac:dyDescent="0.35">
      <c r="A434">
        <v>432</v>
      </c>
      <c r="B434" s="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6">
        <f t="shared" si="25"/>
        <v>82.714285714285722</v>
      </c>
      <c r="P434">
        <f t="shared" si="26"/>
        <v>69.989010989010993</v>
      </c>
      <c r="Q434" t="s">
        <v>2037</v>
      </c>
      <c r="R434" t="s">
        <v>2038</v>
      </c>
      <c r="S434" s="10">
        <f t="shared" si="28"/>
        <v>27188.220833333333</v>
      </c>
      <c r="T434" s="12">
        <f t="shared" si="27"/>
        <v>27190.220833333333</v>
      </c>
    </row>
    <row r="435" spans="1:20" x14ac:dyDescent="0.35">
      <c r="A435">
        <v>433</v>
      </c>
      <c r="B435" s="4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6">
        <f t="shared" si="25"/>
        <v>54.163920922570021</v>
      </c>
      <c r="P435">
        <f t="shared" si="26"/>
        <v>83.023989898989896</v>
      </c>
      <c r="Q435" t="s">
        <v>2039</v>
      </c>
      <c r="R435" t="s">
        <v>2040</v>
      </c>
      <c r="S435" s="10">
        <f t="shared" si="28"/>
        <v>27172.424999999999</v>
      </c>
      <c r="T435" s="12">
        <f t="shared" si="27"/>
        <v>27174.025000000001</v>
      </c>
    </row>
    <row r="436" spans="1:20" x14ac:dyDescent="0.35">
      <c r="A436">
        <v>434</v>
      </c>
      <c r="B436" s="4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6">
        <f t="shared" si="25"/>
        <v>16.722222222222221</v>
      </c>
      <c r="P436">
        <f t="shared" si="26"/>
        <v>90.3</v>
      </c>
      <c r="Q436" t="s">
        <v>2037</v>
      </c>
      <c r="R436" t="s">
        <v>2038</v>
      </c>
      <c r="S436" s="10">
        <f t="shared" si="28"/>
        <v>27282.625</v>
      </c>
      <c r="T436" s="12">
        <f t="shared" si="27"/>
        <v>27284.025000000001</v>
      </c>
    </row>
    <row r="437" spans="1:20" x14ac:dyDescent="0.35">
      <c r="A437">
        <v>435</v>
      </c>
      <c r="B437" s="4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6">
        <f t="shared" si="25"/>
        <v>116.87664041994749</v>
      </c>
      <c r="P437">
        <f t="shared" si="26"/>
        <v>103.98131932282546</v>
      </c>
      <c r="Q437" t="s">
        <v>2037</v>
      </c>
      <c r="R437" t="s">
        <v>2038</v>
      </c>
      <c r="S437" s="10">
        <f t="shared" si="28"/>
        <v>27210.924999999999</v>
      </c>
      <c r="T437" s="12">
        <f t="shared" si="27"/>
        <v>27212.125</v>
      </c>
    </row>
    <row r="438" spans="1:20" x14ac:dyDescent="0.35">
      <c r="A438">
        <v>436</v>
      </c>
      <c r="B438" s="4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6">
        <f t="shared" si="25"/>
        <v>1052.1538461538462</v>
      </c>
      <c r="P438">
        <f t="shared" si="26"/>
        <v>54.931726907630519</v>
      </c>
      <c r="Q438" t="s">
        <v>2033</v>
      </c>
      <c r="R438" t="s">
        <v>2056</v>
      </c>
      <c r="S438" s="10">
        <f t="shared" si="28"/>
        <v>27369.620833333334</v>
      </c>
      <c r="T438" s="12">
        <f t="shared" si="27"/>
        <v>27369.720833333333</v>
      </c>
    </row>
    <row r="439" spans="1:20" x14ac:dyDescent="0.35">
      <c r="A439">
        <v>437</v>
      </c>
      <c r="B439" s="4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6">
        <f t="shared" si="25"/>
        <v>123.07407407407408</v>
      </c>
      <c r="P439">
        <f t="shared" si="26"/>
        <v>51.921875</v>
      </c>
      <c r="Q439" t="s">
        <v>2039</v>
      </c>
      <c r="R439" t="s">
        <v>2047</v>
      </c>
      <c r="S439" s="10">
        <f t="shared" si="28"/>
        <v>27238.120833333334</v>
      </c>
      <c r="T439" s="12">
        <f t="shared" si="27"/>
        <v>27238.420833333334</v>
      </c>
    </row>
    <row r="440" spans="1:20" ht="31" x14ac:dyDescent="0.35">
      <c r="A440">
        <v>438</v>
      </c>
      <c r="B440" s="4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6">
        <f t="shared" si="25"/>
        <v>178.63855421686748</v>
      </c>
      <c r="P440">
        <f t="shared" si="26"/>
        <v>60.02834008097166</v>
      </c>
      <c r="Q440" t="s">
        <v>2037</v>
      </c>
      <c r="R440" t="s">
        <v>2038</v>
      </c>
      <c r="S440" s="10">
        <f t="shared" si="28"/>
        <v>27145.825000000001</v>
      </c>
      <c r="T440" s="12">
        <f t="shared" si="27"/>
        <v>27148.820833333335</v>
      </c>
    </row>
    <row r="441" spans="1:20" x14ac:dyDescent="0.35">
      <c r="A441">
        <v>439</v>
      </c>
      <c r="B441" s="4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6">
        <f t="shared" si="25"/>
        <v>355.28169014084506</v>
      </c>
      <c r="P441">
        <f t="shared" si="26"/>
        <v>44.003488879197555</v>
      </c>
      <c r="Q441" t="s">
        <v>2039</v>
      </c>
      <c r="R441" t="s">
        <v>2061</v>
      </c>
      <c r="S441" s="10">
        <f t="shared" si="28"/>
        <v>27280.120833333334</v>
      </c>
      <c r="T441" s="12">
        <f t="shared" si="27"/>
        <v>27280.825000000001</v>
      </c>
    </row>
    <row r="442" spans="1:20" x14ac:dyDescent="0.35">
      <c r="A442">
        <v>440</v>
      </c>
      <c r="B442" s="4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6">
        <f t="shared" si="25"/>
        <v>161.90634146341463</v>
      </c>
      <c r="P442">
        <f t="shared" si="26"/>
        <v>53.003513254551258</v>
      </c>
      <c r="Q442" t="s">
        <v>2039</v>
      </c>
      <c r="R442" t="s">
        <v>2058</v>
      </c>
      <c r="S442" s="10">
        <f t="shared" si="28"/>
        <v>27303.720833333333</v>
      </c>
      <c r="T442" s="12">
        <f t="shared" si="27"/>
        <v>27304.720833333333</v>
      </c>
    </row>
    <row r="443" spans="1:20" x14ac:dyDescent="0.35">
      <c r="A443">
        <v>441</v>
      </c>
      <c r="B443" s="4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6">
        <f t="shared" si="25"/>
        <v>24.914285714285715</v>
      </c>
      <c r="P443">
        <f t="shared" si="26"/>
        <v>54.5</v>
      </c>
      <c r="Q443" t="s">
        <v>2035</v>
      </c>
      <c r="R443" t="s">
        <v>2044</v>
      </c>
      <c r="S443" s="10">
        <f t="shared" si="28"/>
        <v>27114.620833333334</v>
      </c>
      <c r="T443" s="12">
        <f t="shared" si="27"/>
        <v>27117.420833333334</v>
      </c>
    </row>
    <row r="444" spans="1:20" x14ac:dyDescent="0.35">
      <c r="A444">
        <v>442</v>
      </c>
      <c r="B444" s="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6">
        <f t="shared" si="25"/>
        <v>198.72222222222223</v>
      </c>
      <c r="P444">
        <f t="shared" si="26"/>
        <v>75.04195804195804</v>
      </c>
      <c r="Q444" t="s">
        <v>2037</v>
      </c>
      <c r="R444" t="s">
        <v>2038</v>
      </c>
      <c r="S444" s="10">
        <f t="shared" si="28"/>
        <v>27310.120833333334</v>
      </c>
      <c r="T444" s="12">
        <f t="shared" si="27"/>
        <v>27311.720833333333</v>
      </c>
    </row>
    <row r="445" spans="1:20" x14ac:dyDescent="0.35">
      <c r="A445">
        <v>443</v>
      </c>
      <c r="B445" s="4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6">
        <f t="shared" si="25"/>
        <v>34.752688172043008</v>
      </c>
      <c r="P445">
        <f t="shared" si="26"/>
        <v>35.911111111111111</v>
      </c>
      <c r="Q445" t="s">
        <v>2037</v>
      </c>
      <c r="R445" t="s">
        <v>2038</v>
      </c>
      <c r="S445" s="10">
        <f t="shared" si="28"/>
        <v>27057.220833333333</v>
      </c>
      <c r="T445" s="12">
        <f t="shared" si="27"/>
        <v>27059.120833333334</v>
      </c>
    </row>
    <row r="446" spans="1:20" x14ac:dyDescent="0.35">
      <c r="A446">
        <v>444</v>
      </c>
      <c r="B446" s="4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6">
        <f t="shared" si="25"/>
        <v>176.41935483870967</v>
      </c>
      <c r="P446">
        <f t="shared" si="26"/>
        <v>36.952702702702702</v>
      </c>
      <c r="Q446" t="s">
        <v>2033</v>
      </c>
      <c r="R446" t="s">
        <v>2043</v>
      </c>
      <c r="S446" s="10">
        <f t="shared" si="28"/>
        <v>27086.920833333334</v>
      </c>
      <c r="T446" s="12">
        <f t="shared" si="27"/>
        <v>27087.120833333334</v>
      </c>
    </row>
    <row r="447" spans="1:20" ht="31" x14ac:dyDescent="0.35">
      <c r="A447">
        <v>445</v>
      </c>
      <c r="B447" s="4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6">
        <f t="shared" si="25"/>
        <v>511.38095238095235</v>
      </c>
      <c r="P447">
        <f t="shared" si="26"/>
        <v>63.170588235294119</v>
      </c>
      <c r="Q447" t="s">
        <v>2037</v>
      </c>
      <c r="R447" t="s">
        <v>2038</v>
      </c>
      <c r="S447" s="10">
        <f t="shared" si="28"/>
        <v>27063.625</v>
      </c>
      <c r="T447" s="12">
        <f t="shared" si="27"/>
        <v>27065.724999999999</v>
      </c>
    </row>
    <row r="448" spans="1:20" x14ac:dyDescent="0.35">
      <c r="A448">
        <v>446</v>
      </c>
      <c r="B448" s="4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6">
        <f t="shared" si="25"/>
        <v>82.044117647058826</v>
      </c>
      <c r="P448">
        <f t="shared" si="26"/>
        <v>29.99462365591398</v>
      </c>
      <c r="Q448" t="s">
        <v>2035</v>
      </c>
      <c r="R448" t="s">
        <v>2044</v>
      </c>
      <c r="S448" s="10">
        <f t="shared" si="28"/>
        <v>27138.224999999999</v>
      </c>
      <c r="T448" s="12">
        <f t="shared" si="27"/>
        <v>27138.424999999999</v>
      </c>
    </row>
    <row r="449" spans="1:20" ht="31" x14ac:dyDescent="0.35">
      <c r="A449">
        <v>447</v>
      </c>
      <c r="B449" s="4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6">
        <f t="shared" si="25"/>
        <v>24.326030927835053</v>
      </c>
      <c r="P449">
        <f t="shared" si="26"/>
        <v>86</v>
      </c>
      <c r="Q449" t="s">
        <v>2039</v>
      </c>
      <c r="R449" t="s">
        <v>2058</v>
      </c>
      <c r="S449" s="10">
        <f t="shared" si="28"/>
        <v>27320.924999999999</v>
      </c>
      <c r="T449" s="12">
        <f t="shared" si="27"/>
        <v>27322.525000000001</v>
      </c>
    </row>
    <row r="450" spans="1:20" x14ac:dyDescent="0.35">
      <c r="A450">
        <v>448</v>
      </c>
      <c r="B450" s="4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6">
        <f t="shared" si="25"/>
        <v>50.482758620689658</v>
      </c>
      <c r="P450">
        <f t="shared" si="26"/>
        <v>75.014876033057845</v>
      </c>
      <c r="Q450" t="s">
        <v>2048</v>
      </c>
      <c r="R450" t="s">
        <v>2049</v>
      </c>
      <c r="S450" s="10">
        <f t="shared" si="28"/>
        <v>27149.920833333334</v>
      </c>
      <c r="T450" s="12">
        <f t="shared" si="27"/>
        <v>27150.120833333334</v>
      </c>
    </row>
    <row r="451" spans="1:20" x14ac:dyDescent="0.35">
      <c r="A451">
        <v>449</v>
      </c>
      <c r="B451" s="4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6">
        <f t="shared" ref="O451:O514" si="29">MAX(0,(E451/D451)*100)</f>
        <v>967</v>
      </c>
      <c r="P451">
        <f t="shared" ref="P451:P514" si="30">IFERROR(AVERAGE(E451/G451),0)</f>
        <v>101.19767441860465</v>
      </c>
      <c r="Q451" t="s">
        <v>2048</v>
      </c>
      <c r="R451" t="s">
        <v>2049</v>
      </c>
      <c r="S451" s="10">
        <f t="shared" si="28"/>
        <v>27365.125</v>
      </c>
      <c r="T451" s="12">
        <f t="shared" ref="T451:T514" si="31">K451/864000+DATE(1970,1,1)</f>
        <v>27366.820833333335</v>
      </c>
    </row>
    <row r="452" spans="1:20" x14ac:dyDescent="0.35">
      <c r="A452">
        <v>450</v>
      </c>
      <c r="B452" s="4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6">
        <f t="shared" si="29"/>
        <v>4</v>
      </c>
      <c r="P452">
        <f t="shared" si="30"/>
        <v>4</v>
      </c>
      <c r="Q452" t="s">
        <v>2039</v>
      </c>
      <c r="R452" t="s">
        <v>2047</v>
      </c>
      <c r="S452" s="10">
        <f t="shared" si="28"/>
        <v>27351.520833333332</v>
      </c>
      <c r="T452" s="12">
        <f t="shared" si="31"/>
        <v>27353.825000000001</v>
      </c>
    </row>
    <row r="453" spans="1:20" x14ac:dyDescent="0.35">
      <c r="A453">
        <v>451</v>
      </c>
      <c r="B453" s="4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6">
        <f t="shared" si="29"/>
        <v>122.84501347708894</v>
      </c>
      <c r="P453">
        <f t="shared" si="30"/>
        <v>29.001272669424118</v>
      </c>
      <c r="Q453" t="s">
        <v>2033</v>
      </c>
      <c r="R453" t="s">
        <v>2034</v>
      </c>
      <c r="S453" s="10">
        <f t="shared" si="28"/>
        <v>27305.620833333334</v>
      </c>
      <c r="T453" s="12">
        <f t="shared" si="31"/>
        <v>27308.720833333333</v>
      </c>
    </row>
    <row r="454" spans="1:20" ht="31" x14ac:dyDescent="0.35">
      <c r="A454">
        <v>452</v>
      </c>
      <c r="B454" s="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6">
        <f t="shared" si="29"/>
        <v>63.4375</v>
      </c>
      <c r="P454">
        <f t="shared" si="30"/>
        <v>98.225806451612897</v>
      </c>
      <c r="Q454" t="s">
        <v>2039</v>
      </c>
      <c r="R454" t="s">
        <v>2042</v>
      </c>
      <c r="S454" s="10">
        <f t="shared" si="28"/>
        <v>27048.620833333334</v>
      </c>
      <c r="T454" s="12">
        <f t="shared" si="31"/>
        <v>27048.720833333333</v>
      </c>
    </row>
    <row r="455" spans="1:20" ht="31" x14ac:dyDescent="0.35">
      <c r="A455">
        <v>453</v>
      </c>
      <c r="B455" s="4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6">
        <f t="shared" si="29"/>
        <v>56.331688596491226</v>
      </c>
      <c r="P455">
        <f t="shared" si="30"/>
        <v>87.001693480101608</v>
      </c>
      <c r="Q455" t="s">
        <v>2039</v>
      </c>
      <c r="R455" t="s">
        <v>2061</v>
      </c>
      <c r="S455" s="10">
        <f t="shared" si="28"/>
        <v>27282.625</v>
      </c>
      <c r="T455" s="12">
        <f t="shared" si="31"/>
        <v>27286.724999999999</v>
      </c>
    </row>
    <row r="456" spans="1:20" x14ac:dyDescent="0.35">
      <c r="A456">
        <v>454</v>
      </c>
      <c r="B456" s="4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6">
        <f t="shared" si="29"/>
        <v>44.074999999999996</v>
      </c>
      <c r="P456">
        <f t="shared" si="30"/>
        <v>45.205128205128204</v>
      </c>
      <c r="Q456" t="s">
        <v>2039</v>
      </c>
      <c r="R456" t="s">
        <v>2042</v>
      </c>
      <c r="S456" s="10">
        <f t="shared" si="28"/>
        <v>27168.920833333334</v>
      </c>
      <c r="T456" s="12">
        <f t="shared" si="31"/>
        <v>27172.525000000001</v>
      </c>
    </row>
    <row r="457" spans="1:20" x14ac:dyDescent="0.35">
      <c r="A457">
        <v>455</v>
      </c>
      <c r="B457" s="4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6">
        <f t="shared" si="29"/>
        <v>118.37253218884121</v>
      </c>
      <c r="P457">
        <f t="shared" si="30"/>
        <v>37.001341561577675</v>
      </c>
      <c r="Q457" t="s">
        <v>2037</v>
      </c>
      <c r="R457" t="s">
        <v>2038</v>
      </c>
      <c r="S457" s="10">
        <f t="shared" si="28"/>
        <v>27093.020833333332</v>
      </c>
      <c r="T457" s="12">
        <f t="shared" si="31"/>
        <v>27095.320833333335</v>
      </c>
    </row>
    <row r="458" spans="1:20" ht="31" x14ac:dyDescent="0.35">
      <c r="A458">
        <v>456</v>
      </c>
      <c r="B458" s="4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6">
        <f t="shared" si="29"/>
        <v>104.1243169398907</v>
      </c>
      <c r="P458">
        <f t="shared" si="30"/>
        <v>94.976947040498445</v>
      </c>
      <c r="Q458" t="s">
        <v>2033</v>
      </c>
      <c r="R458" t="s">
        <v>2043</v>
      </c>
      <c r="S458" s="10">
        <f t="shared" si="28"/>
        <v>27326.224999999999</v>
      </c>
      <c r="T458" s="12">
        <f t="shared" si="31"/>
        <v>27326.224999999999</v>
      </c>
    </row>
    <row r="459" spans="1:20" x14ac:dyDescent="0.35">
      <c r="A459">
        <v>457</v>
      </c>
      <c r="B459" s="4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6">
        <f t="shared" si="29"/>
        <v>26.640000000000004</v>
      </c>
      <c r="P459">
        <f t="shared" si="30"/>
        <v>28.956521739130434</v>
      </c>
      <c r="Q459" t="s">
        <v>2037</v>
      </c>
      <c r="R459" t="s">
        <v>2038</v>
      </c>
      <c r="S459" s="10">
        <f t="shared" si="28"/>
        <v>27277.820833333335</v>
      </c>
      <c r="T459" s="12">
        <f t="shared" si="31"/>
        <v>27278.020833333332</v>
      </c>
    </row>
    <row r="460" spans="1:20" x14ac:dyDescent="0.35">
      <c r="A460">
        <v>458</v>
      </c>
      <c r="B460" s="4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6">
        <f t="shared" si="29"/>
        <v>351.20118343195264</v>
      </c>
      <c r="P460">
        <f t="shared" si="30"/>
        <v>55.993396226415094</v>
      </c>
      <c r="Q460" t="s">
        <v>2037</v>
      </c>
      <c r="R460" t="s">
        <v>2038</v>
      </c>
      <c r="S460" s="10">
        <f t="shared" si="28"/>
        <v>27038.620833333334</v>
      </c>
      <c r="T460" s="12">
        <f t="shared" si="31"/>
        <v>27043.020833333332</v>
      </c>
    </row>
    <row r="461" spans="1:20" x14ac:dyDescent="0.35">
      <c r="A461">
        <v>459</v>
      </c>
      <c r="B461" s="4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6">
        <f t="shared" si="29"/>
        <v>90.063492063492063</v>
      </c>
      <c r="P461">
        <f t="shared" si="30"/>
        <v>54.038095238095238</v>
      </c>
      <c r="Q461" t="s">
        <v>2039</v>
      </c>
      <c r="R461" t="s">
        <v>2040</v>
      </c>
      <c r="S461" s="10">
        <f t="shared" ref="S461:S524" si="32">J:J/864000+DATE(1970,1,1)</f>
        <v>27212.224999999999</v>
      </c>
      <c r="T461" s="12">
        <f t="shared" si="31"/>
        <v>27214.724999999999</v>
      </c>
    </row>
    <row r="462" spans="1:20" x14ac:dyDescent="0.35">
      <c r="A462">
        <v>460</v>
      </c>
      <c r="B462" s="4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6">
        <f t="shared" si="29"/>
        <v>171.625</v>
      </c>
      <c r="P462">
        <f t="shared" si="30"/>
        <v>82.38</v>
      </c>
      <c r="Q462" t="s">
        <v>2037</v>
      </c>
      <c r="R462" t="s">
        <v>2038</v>
      </c>
      <c r="S462" s="10">
        <f t="shared" si="32"/>
        <v>27052.020833333332</v>
      </c>
      <c r="T462" s="12">
        <f t="shared" si="31"/>
        <v>27052.320833333335</v>
      </c>
    </row>
    <row r="463" spans="1:20" x14ac:dyDescent="0.35">
      <c r="A463">
        <v>461</v>
      </c>
      <c r="B463" s="4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6">
        <f t="shared" si="29"/>
        <v>141.04655870445345</v>
      </c>
      <c r="P463">
        <f t="shared" si="30"/>
        <v>66.997115384615384</v>
      </c>
      <c r="Q463" t="s">
        <v>2039</v>
      </c>
      <c r="R463" t="s">
        <v>2042</v>
      </c>
      <c r="S463" s="10">
        <f t="shared" si="32"/>
        <v>27187.820833333335</v>
      </c>
      <c r="T463" s="12">
        <f t="shared" si="31"/>
        <v>27189.820833333335</v>
      </c>
    </row>
    <row r="464" spans="1:20" x14ac:dyDescent="0.35">
      <c r="A464">
        <v>462</v>
      </c>
      <c r="B464" s="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6">
        <f t="shared" si="29"/>
        <v>30.57944915254237</v>
      </c>
      <c r="P464">
        <f t="shared" si="30"/>
        <v>107.91401869158878</v>
      </c>
      <c r="Q464" t="s">
        <v>2048</v>
      </c>
      <c r="R464" t="s">
        <v>2059</v>
      </c>
      <c r="S464" s="10">
        <f t="shared" si="32"/>
        <v>27142.525000000001</v>
      </c>
      <c r="T464" s="12">
        <f t="shared" si="31"/>
        <v>27146.325000000001</v>
      </c>
    </row>
    <row r="465" spans="1:20" ht="31" x14ac:dyDescent="0.35">
      <c r="A465">
        <v>463</v>
      </c>
      <c r="B465" s="4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6">
        <f t="shared" si="29"/>
        <v>108.16455696202532</v>
      </c>
      <c r="P465">
        <f t="shared" si="30"/>
        <v>69.009501187648453</v>
      </c>
      <c r="Q465" t="s">
        <v>2039</v>
      </c>
      <c r="R465" t="s">
        <v>2047</v>
      </c>
      <c r="S465" s="10">
        <f t="shared" si="32"/>
        <v>27176.025000000001</v>
      </c>
      <c r="T465" s="12">
        <f t="shared" si="31"/>
        <v>27176.424999999999</v>
      </c>
    </row>
    <row r="466" spans="1:20" x14ac:dyDescent="0.35">
      <c r="A466">
        <v>464</v>
      </c>
      <c r="B466" s="4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6">
        <f t="shared" si="29"/>
        <v>133.45505617977528</v>
      </c>
      <c r="P466">
        <f t="shared" si="30"/>
        <v>39.006568144499177</v>
      </c>
      <c r="Q466" t="s">
        <v>2037</v>
      </c>
      <c r="R466" t="s">
        <v>2038</v>
      </c>
      <c r="S466" s="10">
        <f t="shared" si="32"/>
        <v>27326.325000000001</v>
      </c>
      <c r="T466" s="12">
        <f t="shared" si="31"/>
        <v>27327.724999999999</v>
      </c>
    </row>
    <row r="467" spans="1:20" x14ac:dyDescent="0.35">
      <c r="A467">
        <v>465</v>
      </c>
      <c r="B467" s="4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6">
        <f t="shared" si="29"/>
        <v>187.85106382978722</v>
      </c>
      <c r="P467">
        <f t="shared" si="30"/>
        <v>110.3625</v>
      </c>
      <c r="Q467" t="s">
        <v>2045</v>
      </c>
      <c r="R467" t="s">
        <v>2057</v>
      </c>
      <c r="S467" s="10">
        <f t="shared" si="32"/>
        <v>27324.825000000001</v>
      </c>
      <c r="T467" s="12">
        <f t="shared" si="31"/>
        <v>27325.724999999999</v>
      </c>
    </row>
    <row r="468" spans="1:20" x14ac:dyDescent="0.35">
      <c r="A468">
        <v>466</v>
      </c>
      <c r="B468" s="4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6">
        <f t="shared" si="29"/>
        <v>332</v>
      </c>
      <c r="P468">
        <f t="shared" si="30"/>
        <v>94.857142857142861</v>
      </c>
      <c r="Q468" t="s">
        <v>2035</v>
      </c>
      <c r="R468" t="s">
        <v>2044</v>
      </c>
      <c r="S468" s="10">
        <f t="shared" si="32"/>
        <v>27153.020833333332</v>
      </c>
      <c r="T468" s="12">
        <f t="shared" si="31"/>
        <v>27155.320833333335</v>
      </c>
    </row>
    <row r="469" spans="1:20" ht="31" x14ac:dyDescent="0.35">
      <c r="A469">
        <v>467</v>
      </c>
      <c r="B469" s="4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6">
        <f t="shared" si="29"/>
        <v>575.21428571428578</v>
      </c>
      <c r="P469">
        <f t="shared" si="30"/>
        <v>57.935251798561154</v>
      </c>
      <c r="Q469" t="s">
        <v>2035</v>
      </c>
      <c r="R469" t="s">
        <v>2036</v>
      </c>
      <c r="S469" s="10">
        <f t="shared" si="32"/>
        <v>27245.224999999999</v>
      </c>
      <c r="T469" s="12">
        <f t="shared" si="31"/>
        <v>27245.924999999999</v>
      </c>
    </row>
    <row r="470" spans="1:20" x14ac:dyDescent="0.35">
      <c r="A470">
        <v>468</v>
      </c>
      <c r="B470" s="4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6">
        <f t="shared" si="29"/>
        <v>40.5</v>
      </c>
      <c r="P470">
        <f t="shared" si="30"/>
        <v>101.25</v>
      </c>
      <c r="Q470" t="s">
        <v>2037</v>
      </c>
      <c r="R470" t="s">
        <v>2038</v>
      </c>
      <c r="S470" s="10">
        <f t="shared" si="32"/>
        <v>27369.020833333332</v>
      </c>
      <c r="T470" s="12">
        <f t="shared" si="31"/>
        <v>27370.620833333334</v>
      </c>
    </row>
    <row r="471" spans="1:20" x14ac:dyDescent="0.35">
      <c r="A471">
        <v>469</v>
      </c>
      <c r="B471" s="4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6">
        <f t="shared" si="29"/>
        <v>184.42857142857144</v>
      </c>
      <c r="P471">
        <f t="shared" si="30"/>
        <v>64.95597484276729</v>
      </c>
      <c r="Q471" t="s">
        <v>2039</v>
      </c>
      <c r="R471" t="s">
        <v>2042</v>
      </c>
      <c r="S471" s="10">
        <f t="shared" si="32"/>
        <v>27226.320833333335</v>
      </c>
      <c r="T471" s="12">
        <f t="shared" si="31"/>
        <v>27226.520833333332</v>
      </c>
    </row>
    <row r="472" spans="1:20" x14ac:dyDescent="0.35">
      <c r="A472">
        <v>470</v>
      </c>
      <c r="B472" s="4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6">
        <f t="shared" si="29"/>
        <v>285.80555555555554</v>
      </c>
      <c r="P472">
        <f t="shared" si="30"/>
        <v>27.00524934383202</v>
      </c>
      <c r="Q472" t="s">
        <v>2035</v>
      </c>
      <c r="R472" t="s">
        <v>2044</v>
      </c>
      <c r="S472" s="10">
        <f t="shared" si="32"/>
        <v>27283.724999999999</v>
      </c>
      <c r="T472" s="12">
        <f t="shared" si="31"/>
        <v>27284.424999999999</v>
      </c>
    </row>
    <row r="473" spans="1:20" x14ac:dyDescent="0.35">
      <c r="A473">
        <v>471</v>
      </c>
      <c r="B473" s="4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6">
        <f t="shared" si="29"/>
        <v>319</v>
      </c>
      <c r="P473">
        <f t="shared" si="30"/>
        <v>50.97422680412371</v>
      </c>
      <c r="Q473" t="s">
        <v>2031</v>
      </c>
      <c r="R473" t="s">
        <v>2032</v>
      </c>
      <c r="S473" s="10">
        <f t="shared" si="32"/>
        <v>27115.220833333333</v>
      </c>
      <c r="T473" s="12">
        <f t="shared" si="31"/>
        <v>27115.220833333333</v>
      </c>
    </row>
    <row r="474" spans="1:20" x14ac:dyDescent="0.35">
      <c r="A474">
        <v>472</v>
      </c>
      <c r="B474" s="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6">
        <f t="shared" si="29"/>
        <v>39.234070221066318</v>
      </c>
      <c r="P474">
        <f t="shared" si="30"/>
        <v>104.94260869565217</v>
      </c>
      <c r="Q474" t="s">
        <v>2033</v>
      </c>
      <c r="R474" t="s">
        <v>2034</v>
      </c>
      <c r="S474" s="10">
        <f t="shared" si="32"/>
        <v>27365.620833333334</v>
      </c>
      <c r="T474" s="12">
        <f t="shared" si="31"/>
        <v>27371.020833333332</v>
      </c>
    </row>
    <row r="475" spans="1:20" x14ac:dyDescent="0.35">
      <c r="A475">
        <v>473</v>
      </c>
      <c r="B475" s="4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6">
        <f t="shared" si="29"/>
        <v>178.14000000000001</v>
      </c>
      <c r="P475">
        <f t="shared" si="30"/>
        <v>84.028301886792448</v>
      </c>
      <c r="Q475" t="s">
        <v>2033</v>
      </c>
      <c r="R475" t="s">
        <v>2041</v>
      </c>
      <c r="S475" s="10">
        <f t="shared" si="32"/>
        <v>27339.820833333335</v>
      </c>
      <c r="T475" s="12">
        <f t="shared" si="31"/>
        <v>27339.920833333334</v>
      </c>
    </row>
    <row r="476" spans="1:20" x14ac:dyDescent="0.35">
      <c r="A476">
        <v>474</v>
      </c>
      <c r="B476" s="4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6">
        <f t="shared" si="29"/>
        <v>365.15</v>
      </c>
      <c r="P476">
        <f t="shared" si="30"/>
        <v>102.85915492957747</v>
      </c>
      <c r="Q476" t="s">
        <v>2039</v>
      </c>
      <c r="R476" t="s">
        <v>2058</v>
      </c>
      <c r="S476" s="10">
        <f t="shared" si="32"/>
        <v>27211.025000000001</v>
      </c>
      <c r="T476" s="12">
        <f t="shared" si="31"/>
        <v>27211.125</v>
      </c>
    </row>
    <row r="477" spans="1:20" ht="31" x14ac:dyDescent="0.35">
      <c r="A477">
        <v>475</v>
      </c>
      <c r="B477" s="4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6">
        <f t="shared" si="29"/>
        <v>113.94594594594594</v>
      </c>
      <c r="P477">
        <f t="shared" si="30"/>
        <v>39.962085308056871</v>
      </c>
      <c r="Q477" t="s">
        <v>2045</v>
      </c>
      <c r="R477" t="s">
        <v>2057</v>
      </c>
      <c r="S477" s="10">
        <f t="shared" si="32"/>
        <v>27157.120833333334</v>
      </c>
      <c r="T477" s="12">
        <f t="shared" si="31"/>
        <v>27157.520833333332</v>
      </c>
    </row>
    <row r="478" spans="1:20" ht="31" x14ac:dyDescent="0.35">
      <c r="A478">
        <v>476</v>
      </c>
      <c r="B478" s="4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6">
        <f t="shared" si="29"/>
        <v>29.828720626631856</v>
      </c>
      <c r="P478">
        <f t="shared" si="30"/>
        <v>51.001785714285717</v>
      </c>
      <c r="Q478" t="s">
        <v>2045</v>
      </c>
      <c r="R478" t="s">
        <v>2051</v>
      </c>
      <c r="S478" s="10">
        <f t="shared" si="32"/>
        <v>27344.320833333335</v>
      </c>
      <c r="T478" s="12">
        <f t="shared" si="31"/>
        <v>27344.920833333334</v>
      </c>
    </row>
    <row r="479" spans="1:20" x14ac:dyDescent="0.35">
      <c r="A479">
        <v>477</v>
      </c>
      <c r="B479" s="4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6">
        <f t="shared" si="29"/>
        <v>54.270588235294113</v>
      </c>
      <c r="P479">
        <f t="shared" si="30"/>
        <v>40.823008849557525</v>
      </c>
      <c r="Q479" t="s">
        <v>2039</v>
      </c>
      <c r="R479" t="s">
        <v>2061</v>
      </c>
      <c r="S479" s="10">
        <f t="shared" si="32"/>
        <v>27084.120833333334</v>
      </c>
      <c r="T479" s="12">
        <f t="shared" si="31"/>
        <v>27086.820833333335</v>
      </c>
    </row>
    <row r="480" spans="1:20" x14ac:dyDescent="0.35">
      <c r="A480">
        <v>478</v>
      </c>
      <c r="B480" s="4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6">
        <f t="shared" si="29"/>
        <v>236.34156976744185</v>
      </c>
      <c r="P480">
        <f t="shared" si="30"/>
        <v>58.999637155297535</v>
      </c>
      <c r="Q480" t="s">
        <v>2035</v>
      </c>
      <c r="R480" t="s">
        <v>2044</v>
      </c>
      <c r="S480" s="10">
        <f t="shared" si="32"/>
        <v>27219.320833333335</v>
      </c>
      <c r="T480" s="12">
        <f t="shared" si="31"/>
        <v>27220.520833333332</v>
      </c>
    </row>
    <row r="481" spans="1:20" x14ac:dyDescent="0.35">
      <c r="A481">
        <v>479</v>
      </c>
      <c r="B481" s="4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6">
        <f t="shared" si="29"/>
        <v>512.91666666666663</v>
      </c>
      <c r="P481">
        <f t="shared" si="30"/>
        <v>71.156069364161851</v>
      </c>
      <c r="Q481" t="s">
        <v>2031</v>
      </c>
      <c r="R481" t="s">
        <v>2032</v>
      </c>
      <c r="S481" s="10">
        <f t="shared" si="32"/>
        <v>27306.620833333334</v>
      </c>
      <c r="T481" s="12">
        <f t="shared" si="31"/>
        <v>27306.820833333335</v>
      </c>
    </row>
    <row r="482" spans="1:20" x14ac:dyDescent="0.35">
      <c r="A482">
        <v>480</v>
      </c>
      <c r="B482" s="4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6">
        <f t="shared" si="29"/>
        <v>100.65116279069768</v>
      </c>
      <c r="P482">
        <f t="shared" si="30"/>
        <v>99.494252873563212</v>
      </c>
      <c r="Q482" t="s">
        <v>2052</v>
      </c>
      <c r="R482" t="s">
        <v>2053</v>
      </c>
      <c r="S482" s="10">
        <f t="shared" si="32"/>
        <v>27036.924999999999</v>
      </c>
      <c r="T482" s="12">
        <f t="shared" si="31"/>
        <v>27037.820833333335</v>
      </c>
    </row>
    <row r="483" spans="1:20" ht="31" x14ac:dyDescent="0.35">
      <c r="A483">
        <v>481</v>
      </c>
      <c r="B483" s="4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6">
        <f t="shared" si="29"/>
        <v>81.348423194303152</v>
      </c>
      <c r="P483">
        <f t="shared" si="30"/>
        <v>103.98634590377114</v>
      </c>
      <c r="Q483" t="s">
        <v>2037</v>
      </c>
      <c r="R483" t="s">
        <v>2038</v>
      </c>
      <c r="S483" s="10">
        <f t="shared" si="32"/>
        <v>27203.420833333334</v>
      </c>
      <c r="T483" s="12">
        <f t="shared" si="31"/>
        <v>27207.625</v>
      </c>
    </row>
    <row r="484" spans="1:20" ht="31" x14ac:dyDescent="0.35">
      <c r="A484">
        <v>482</v>
      </c>
      <c r="B484" s="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6">
        <f t="shared" si="29"/>
        <v>16.404761904761905</v>
      </c>
      <c r="P484">
        <f t="shared" si="30"/>
        <v>76.555555555555557</v>
      </c>
      <c r="Q484" t="s">
        <v>2045</v>
      </c>
      <c r="R484" t="s">
        <v>2051</v>
      </c>
      <c r="S484" s="10">
        <f t="shared" si="32"/>
        <v>27108.424999999999</v>
      </c>
      <c r="T484" s="12">
        <f t="shared" si="31"/>
        <v>27109.525000000001</v>
      </c>
    </row>
    <row r="485" spans="1:20" x14ac:dyDescent="0.35">
      <c r="A485">
        <v>483</v>
      </c>
      <c r="B485" s="4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6">
        <f t="shared" si="29"/>
        <v>52.774617067833695</v>
      </c>
      <c r="P485">
        <f t="shared" si="30"/>
        <v>87.068592057761734</v>
      </c>
      <c r="Q485" t="s">
        <v>2037</v>
      </c>
      <c r="R485" t="s">
        <v>2038</v>
      </c>
      <c r="S485" s="10">
        <f t="shared" si="32"/>
        <v>27393.224999999999</v>
      </c>
      <c r="T485" s="12">
        <f t="shared" si="31"/>
        <v>27393.924999999999</v>
      </c>
    </row>
    <row r="486" spans="1:20" x14ac:dyDescent="0.35">
      <c r="A486">
        <v>484</v>
      </c>
      <c r="B486" s="4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6">
        <f t="shared" si="29"/>
        <v>260.20608108108109</v>
      </c>
      <c r="P486">
        <f t="shared" si="30"/>
        <v>48.99554707379135</v>
      </c>
      <c r="Q486" t="s">
        <v>2031</v>
      </c>
      <c r="R486" t="s">
        <v>2032</v>
      </c>
      <c r="S486" s="10">
        <f t="shared" si="32"/>
        <v>27197.620833333334</v>
      </c>
      <c r="T486" s="12">
        <f t="shared" si="31"/>
        <v>27202.520833333332</v>
      </c>
    </row>
    <row r="487" spans="1:20" ht="31" x14ac:dyDescent="0.35">
      <c r="A487">
        <v>485</v>
      </c>
      <c r="B487" s="4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6">
        <f t="shared" si="29"/>
        <v>30.73289183222958</v>
      </c>
      <c r="P487">
        <f t="shared" si="30"/>
        <v>42.969135802469133</v>
      </c>
      <c r="Q487" t="s">
        <v>2037</v>
      </c>
      <c r="R487" t="s">
        <v>2038</v>
      </c>
      <c r="S487" s="10">
        <f t="shared" si="32"/>
        <v>27374.720833333333</v>
      </c>
      <c r="T487" s="12">
        <f t="shared" si="31"/>
        <v>27378.820833333335</v>
      </c>
    </row>
    <row r="488" spans="1:20" ht="31" x14ac:dyDescent="0.35">
      <c r="A488">
        <v>486</v>
      </c>
      <c r="B488" s="4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6">
        <f t="shared" si="29"/>
        <v>13.5</v>
      </c>
      <c r="P488">
        <f t="shared" si="30"/>
        <v>33.428571428571431</v>
      </c>
      <c r="Q488" t="s">
        <v>2045</v>
      </c>
      <c r="R488" t="s">
        <v>2057</v>
      </c>
      <c r="S488" s="10">
        <f t="shared" si="32"/>
        <v>27328.924999999999</v>
      </c>
      <c r="T488" s="12">
        <f t="shared" si="31"/>
        <v>27330.420833333334</v>
      </c>
    </row>
    <row r="489" spans="1:20" x14ac:dyDescent="0.35">
      <c r="A489">
        <v>487</v>
      </c>
      <c r="B489" s="4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6">
        <f t="shared" si="29"/>
        <v>178.62556663644605</v>
      </c>
      <c r="P489">
        <f t="shared" si="30"/>
        <v>83.982949701619773</v>
      </c>
      <c r="Q489" t="s">
        <v>2037</v>
      </c>
      <c r="R489" t="s">
        <v>2038</v>
      </c>
      <c r="S489" s="10">
        <f t="shared" si="32"/>
        <v>27296.620833333334</v>
      </c>
      <c r="T489" s="12">
        <f t="shared" si="31"/>
        <v>27299.920833333334</v>
      </c>
    </row>
    <row r="490" spans="1:20" x14ac:dyDescent="0.35">
      <c r="A490">
        <v>488</v>
      </c>
      <c r="B490" s="4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6">
        <f t="shared" si="29"/>
        <v>220.0566037735849</v>
      </c>
      <c r="P490">
        <f t="shared" si="30"/>
        <v>101.41739130434783</v>
      </c>
      <c r="Q490" t="s">
        <v>2037</v>
      </c>
      <c r="R490" t="s">
        <v>2038</v>
      </c>
      <c r="S490" s="10">
        <f t="shared" si="32"/>
        <v>27252.424999999999</v>
      </c>
      <c r="T490" s="12">
        <f t="shared" si="31"/>
        <v>27254.125</v>
      </c>
    </row>
    <row r="491" spans="1:20" x14ac:dyDescent="0.35">
      <c r="A491">
        <v>489</v>
      </c>
      <c r="B491" s="4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6">
        <f t="shared" si="29"/>
        <v>101.5108695652174</v>
      </c>
      <c r="P491">
        <f t="shared" si="30"/>
        <v>109.87058823529412</v>
      </c>
      <c r="Q491" t="s">
        <v>2035</v>
      </c>
      <c r="R491" t="s">
        <v>2044</v>
      </c>
      <c r="S491" s="10">
        <f t="shared" si="32"/>
        <v>27052.720833333333</v>
      </c>
      <c r="T491" s="12">
        <f t="shared" si="31"/>
        <v>27053.220833333333</v>
      </c>
    </row>
    <row r="492" spans="1:20" x14ac:dyDescent="0.35">
      <c r="A492">
        <v>490</v>
      </c>
      <c r="B492" s="4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6">
        <f t="shared" si="29"/>
        <v>191.5</v>
      </c>
      <c r="P492">
        <f t="shared" si="30"/>
        <v>31.916666666666668</v>
      </c>
      <c r="Q492" t="s">
        <v>2062</v>
      </c>
      <c r="R492" t="s">
        <v>2063</v>
      </c>
      <c r="S492" s="10">
        <f t="shared" si="32"/>
        <v>27390.724999999999</v>
      </c>
      <c r="T492" s="12">
        <f t="shared" si="31"/>
        <v>27391.424999999999</v>
      </c>
    </row>
    <row r="493" spans="1:20" ht="31" x14ac:dyDescent="0.35">
      <c r="A493">
        <v>491</v>
      </c>
      <c r="B493" s="4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6">
        <f t="shared" si="29"/>
        <v>305.34683098591546</v>
      </c>
      <c r="P493">
        <f t="shared" si="30"/>
        <v>70.993450675399103</v>
      </c>
      <c r="Q493" t="s">
        <v>2031</v>
      </c>
      <c r="R493" t="s">
        <v>2032</v>
      </c>
      <c r="S493" s="10">
        <f t="shared" si="32"/>
        <v>27157.720833333333</v>
      </c>
      <c r="T493" s="12">
        <f t="shared" si="31"/>
        <v>27160.320833333335</v>
      </c>
    </row>
    <row r="494" spans="1:20" x14ac:dyDescent="0.35">
      <c r="A494">
        <v>492</v>
      </c>
      <c r="B494" s="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6">
        <f t="shared" si="29"/>
        <v>23.995287958115181</v>
      </c>
      <c r="P494">
        <f t="shared" si="30"/>
        <v>77.026890756302521</v>
      </c>
      <c r="Q494" t="s">
        <v>2039</v>
      </c>
      <c r="R494" t="s">
        <v>2050</v>
      </c>
      <c r="S494" s="10">
        <f t="shared" si="32"/>
        <v>27045.720833333333</v>
      </c>
      <c r="T494" s="12">
        <f t="shared" si="31"/>
        <v>27049.220833333333</v>
      </c>
    </row>
    <row r="495" spans="1:20" x14ac:dyDescent="0.35">
      <c r="A495">
        <v>493</v>
      </c>
      <c r="B495" s="4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6">
        <f t="shared" si="29"/>
        <v>723.77777777777771</v>
      </c>
      <c r="P495">
        <f t="shared" si="30"/>
        <v>101.78125</v>
      </c>
      <c r="Q495" t="s">
        <v>2052</v>
      </c>
      <c r="R495" t="s">
        <v>2053</v>
      </c>
      <c r="S495" s="10">
        <f t="shared" si="32"/>
        <v>27376.620833333334</v>
      </c>
      <c r="T495" s="12">
        <f t="shared" si="31"/>
        <v>27377.920833333334</v>
      </c>
    </row>
    <row r="496" spans="1:20" ht="31" x14ac:dyDescent="0.35">
      <c r="A496">
        <v>494</v>
      </c>
      <c r="B496" s="4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6">
        <f t="shared" si="29"/>
        <v>547.36</v>
      </c>
      <c r="P496">
        <f t="shared" si="30"/>
        <v>51.059701492537314</v>
      </c>
      <c r="Q496" t="s">
        <v>2035</v>
      </c>
      <c r="R496" t="s">
        <v>2044</v>
      </c>
      <c r="S496" s="10">
        <f t="shared" si="32"/>
        <v>27111.120833333334</v>
      </c>
      <c r="T496" s="12">
        <f t="shared" si="31"/>
        <v>27111.220833333333</v>
      </c>
    </row>
    <row r="497" spans="1:20" x14ac:dyDescent="0.35">
      <c r="A497">
        <v>495</v>
      </c>
      <c r="B497" s="4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6">
        <f t="shared" si="29"/>
        <v>414.49999999999994</v>
      </c>
      <c r="P497">
        <f t="shared" si="30"/>
        <v>68.02051282051282</v>
      </c>
      <c r="Q497" t="s">
        <v>2037</v>
      </c>
      <c r="R497" t="s">
        <v>2038</v>
      </c>
      <c r="S497" s="10">
        <f t="shared" si="32"/>
        <v>27192.120833333334</v>
      </c>
      <c r="T497" s="12">
        <f t="shared" si="31"/>
        <v>27192.520833333332</v>
      </c>
    </row>
    <row r="498" spans="1:20" x14ac:dyDescent="0.35">
      <c r="A498">
        <v>496</v>
      </c>
      <c r="B498" s="4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6">
        <f t="shared" si="29"/>
        <v>0.90696409140369971</v>
      </c>
      <c r="P498">
        <f t="shared" si="30"/>
        <v>30.87037037037037</v>
      </c>
      <c r="Q498" t="s">
        <v>2039</v>
      </c>
      <c r="R498" t="s">
        <v>2047</v>
      </c>
      <c r="S498" s="10">
        <f t="shared" si="32"/>
        <v>27299.720833333333</v>
      </c>
      <c r="T498" s="12">
        <f t="shared" si="31"/>
        <v>27301.420833333334</v>
      </c>
    </row>
    <row r="499" spans="1:20" x14ac:dyDescent="0.35">
      <c r="A499">
        <v>497</v>
      </c>
      <c r="B499" s="4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6">
        <f t="shared" si="29"/>
        <v>34.173469387755098</v>
      </c>
      <c r="P499">
        <f t="shared" si="30"/>
        <v>27.908333333333335</v>
      </c>
      <c r="Q499" t="s">
        <v>2035</v>
      </c>
      <c r="R499" t="s">
        <v>2044</v>
      </c>
      <c r="S499" s="10">
        <f t="shared" si="32"/>
        <v>27284.525000000001</v>
      </c>
      <c r="T499" s="12">
        <f t="shared" si="31"/>
        <v>27284.525000000001</v>
      </c>
    </row>
    <row r="500" spans="1:20" x14ac:dyDescent="0.35">
      <c r="A500">
        <v>498</v>
      </c>
      <c r="B500" s="4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6">
        <f t="shared" si="29"/>
        <v>23.948810754912099</v>
      </c>
      <c r="P500">
        <f t="shared" si="30"/>
        <v>79.994818652849744</v>
      </c>
      <c r="Q500" t="s">
        <v>2035</v>
      </c>
      <c r="R500" t="s">
        <v>2036</v>
      </c>
      <c r="S500" s="10">
        <f t="shared" si="32"/>
        <v>27212.625</v>
      </c>
      <c r="T500" s="12">
        <f t="shared" si="31"/>
        <v>27212.825000000001</v>
      </c>
    </row>
    <row r="501" spans="1:20" ht="31" x14ac:dyDescent="0.35">
      <c r="A501">
        <v>499</v>
      </c>
      <c r="B501" s="4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6">
        <f t="shared" si="29"/>
        <v>48.072649572649574</v>
      </c>
      <c r="P501">
        <f t="shared" si="30"/>
        <v>38.003378378378379</v>
      </c>
      <c r="Q501" t="s">
        <v>2039</v>
      </c>
      <c r="R501" t="s">
        <v>2040</v>
      </c>
      <c r="S501" s="10">
        <f t="shared" si="32"/>
        <v>27256.520833333332</v>
      </c>
      <c r="T501" s="12">
        <f t="shared" si="31"/>
        <v>27257.020833333332</v>
      </c>
    </row>
    <row r="502" spans="1:20" x14ac:dyDescent="0.35">
      <c r="A502">
        <v>500</v>
      </c>
      <c r="B502" s="4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6">
        <f t="shared" si="29"/>
        <v>0</v>
      </c>
      <c r="P502">
        <f t="shared" si="30"/>
        <v>0</v>
      </c>
      <c r="Q502" t="s">
        <v>2037</v>
      </c>
      <c r="R502" t="s">
        <v>2038</v>
      </c>
      <c r="S502" s="10">
        <f t="shared" si="32"/>
        <v>27151.620833333334</v>
      </c>
      <c r="T502" s="12">
        <f t="shared" si="31"/>
        <v>27154.420833333334</v>
      </c>
    </row>
    <row r="503" spans="1:20" x14ac:dyDescent="0.35">
      <c r="A503">
        <v>501</v>
      </c>
      <c r="B503" s="4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6">
        <f t="shared" si="29"/>
        <v>70.145182291666657</v>
      </c>
      <c r="P503">
        <f t="shared" si="30"/>
        <v>59.990534521158132</v>
      </c>
      <c r="Q503" t="s">
        <v>2039</v>
      </c>
      <c r="R503" t="s">
        <v>2040</v>
      </c>
      <c r="S503" s="10">
        <f t="shared" si="32"/>
        <v>27146.620833333334</v>
      </c>
      <c r="T503" s="12">
        <f t="shared" si="31"/>
        <v>27146.820833333335</v>
      </c>
    </row>
    <row r="504" spans="1:20" x14ac:dyDescent="0.35">
      <c r="A504">
        <v>502</v>
      </c>
      <c r="B504" s="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6">
        <f t="shared" si="29"/>
        <v>529.92307692307691</v>
      </c>
      <c r="P504">
        <f t="shared" si="30"/>
        <v>37.037634408602152</v>
      </c>
      <c r="Q504" t="s">
        <v>2048</v>
      </c>
      <c r="R504" t="s">
        <v>2049</v>
      </c>
      <c r="S504" s="10">
        <f t="shared" si="32"/>
        <v>27123.820833333335</v>
      </c>
      <c r="T504" s="12">
        <f t="shared" si="31"/>
        <v>27126.720833333333</v>
      </c>
    </row>
    <row r="505" spans="1:20" ht="31" x14ac:dyDescent="0.35">
      <c r="A505">
        <v>503</v>
      </c>
      <c r="B505" s="4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6">
        <f t="shared" si="29"/>
        <v>180.32549019607845</v>
      </c>
      <c r="P505">
        <f t="shared" si="30"/>
        <v>99.963043478260872</v>
      </c>
      <c r="Q505" t="s">
        <v>2039</v>
      </c>
      <c r="R505" t="s">
        <v>2042</v>
      </c>
      <c r="S505" s="10">
        <f t="shared" si="32"/>
        <v>27230.720833333333</v>
      </c>
      <c r="T505" s="12">
        <f t="shared" si="31"/>
        <v>27232.720833333333</v>
      </c>
    </row>
    <row r="506" spans="1:20" x14ac:dyDescent="0.35">
      <c r="A506">
        <v>504</v>
      </c>
      <c r="B506" s="4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6">
        <f t="shared" si="29"/>
        <v>92.320000000000007</v>
      </c>
      <c r="P506">
        <f t="shared" si="30"/>
        <v>111.6774193548387</v>
      </c>
      <c r="Q506" t="s">
        <v>2033</v>
      </c>
      <c r="R506" t="s">
        <v>2034</v>
      </c>
      <c r="S506" s="10">
        <f t="shared" si="32"/>
        <v>27226.320833333335</v>
      </c>
      <c r="T506" s="12">
        <f t="shared" si="31"/>
        <v>27226.420833333334</v>
      </c>
    </row>
    <row r="507" spans="1:20" x14ac:dyDescent="0.35">
      <c r="A507">
        <v>505</v>
      </c>
      <c r="B507" s="4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6">
        <f t="shared" si="29"/>
        <v>13.901001112347053</v>
      </c>
      <c r="P507">
        <f t="shared" si="30"/>
        <v>36.014409221902014</v>
      </c>
      <c r="Q507" t="s">
        <v>2045</v>
      </c>
      <c r="R507" t="s">
        <v>2054</v>
      </c>
      <c r="S507" s="10">
        <f t="shared" si="32"/>
        <v>27146.224999999999</v>
      </c>
      <c r="T507" s="12">
        <f t="shared" si="31"/>
        <v>27150.420833333334</v>
      </c>
    </row>
    <row r="508" spans="1:20" x14ac:dyDescent="0.35">
      <c r="A508">
        <v>506</v>
      </c>
      <c r="B508" s="4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6">
        <f t="shared" si="29"/>
        <v>927.07777777777767</v>
      </c>
      <c r="P508">
        <f t="shared" si="30"/>
        <v>66.010284810126578</v>
      </c>
      <c r="Q508" t="s">
        <v>2037</v>
      </c>
      <c r="R508" t="s">
        <v>2038</v>
      </c>
      <c r="S508" s="10">
        <f t="shared" si="32"/>
        <v>27318.325000000001</v>
      </c>
      <c r="T508" s="12">
        <f t="shared" si="31"/>
        <v>27320.025000000001</v>
      </c>
    </row>
    <row r="509" spans="1:20" ht="31" x14ac:dyDescent="0.35">
      <c r="A509">
        <v>507</v>
      </c>
      <c r="B509" s="4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6">
        <f t="shared" si="29"/>
        <v>39.857142857142861</v>
      </c>
      <c r="P509">
        <f t="shared" si="30"/>
        <v>44.05263157894737</v>
      </c>
      <c r="Q509" t="s">
        <v>2035</v>
      </c>
      <c r="R509" t="s">
        <v>2036</v>
      </c>
      <c r="S509" s="10">
        <f t="shared" si="32"/>
        <v>27149.420833333334</v>
      </c>
      <c r="T509" s="12">
        <f t="shared" si="31"/>
        <v>27154.320833333335</v>
      </c>
    </row>
    <row r="510" spans="1:20" x14ac:dyDescent="0.35">
      <c r="A510">
        <v>508</v>
      </c>
      <c r="B510" s="4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6">
        <f t="shared" si="29"/>
        <v>112.22929936305732</v>
      </c>
      <c r="P510">
        <f t="shared" si="30"/>
        <v>52.999726551818434</v>
      </c>
      <c r="Q510" t="s">
        <v>2037</v>
      </c>
      <c r="R510" t="s">
        <v>2038</v>
      </c>
      <c r="S510" s="10">
        <f t="shared" si="32"/>
        <v>27343.120833333334</v>
      </c>
      <c r="T510" s="12">
        <f t="shared" si="31"/>
        <v>27345.220833333333</v>
      </c>
    </row>
    <row r="511" spans="1:20" x14ac:dyDescent="0.35">
      <c r="A511">
        <v>509</v>
      </c>
      <c r="B511" s="4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6">
        <f t="shared" si="29"/>
        <v>70.925816023738875</v>
      </c>
      <c r="P511">
        <f t="shared" si="30"/>
        <v>95</v>
      </c>
      <c r="Q511" t="s">
        <v>2037</v>
      </c>
      <c r="R511" t="s">
        <v>2038</v>
      </c>
      <c r="S511" s="10">
        <f t="shared" si="32"/>
        <v>27115.520833333332</v>
      </c>
      <c r="T511" s="12">
        <f t="shared" si="31"/>
        <v>27116.520833333332</v>
      </c>
    </row>
    <row r="512" spans="1:20" x14ac:dyDescent="0.35">
      <c r="A512">
        <v>510</v>
      </c>
      <c r="B512" s="4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6">
        <f t="shared" si="29"/>
        <v>119.08974358974358</v>
      </c>
      <c r="P512">
        <f t="shared" si="30"/>
        <v>70.908396946564892</v>
      </c>
      <c r="Q512" t="s">
        <v>2039</v>
      </c>
      <c r="R512" t="s">
        <v>2042</v>
      </c>
      <c r="S512" s="10">
        <f t="shared" si="32"/>
        <v>27337.220833333333</v>
      </c>
      <c r="T512" s="12">
        <f t="shared" si="31"/>
        <v>27339.620833333334</v>
      </c>
    </row>
    <row r="513" spans="1:20" x14ac:dyDescent="0.35">
      <c r="A513">
        <v>511</v>
      </c>
      <c r="B513" s="4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6">
        <f t="shared" si="29"/>
        <v>24.017591339648174</v>
      </c>
      <c r="P513">
        <f t="shared" si="30"/>
        <v>98.060773480662988</v>
      </c>
      <c r="Q513" t="s">
        <v>2037</v>
      </c>
      <c r="R513" t="s">
        <v>2038</v>
      </c>
      <c r="S513" s="10">
        <f t="shared" si="32"/>
        <v>27379.220833333333</v>
      </c>
      <c r="T513" s="12">
        <f t="shared" si="31"/>
        <v>27380.220833333333</v>
      </c>
    </row>
    <row r="514" spans="1:20" x14ac:dyDescent="0.35">
      <c r="A514">
        <v>512</v>
      </c>
      <c r="B514" s="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6">
        <f t="shared" si="29"/>
        <v>139.31868131868131</v>
      </c>
      <c r="P514">
        <f t="shared" si="30"/>
        <v>53.046025104602514</v>
      </c>
      <c r="Q514" t="s">
        <v>2048</v>
      </c>
      <c r="R514" t="s">
        <v>2049</v>
      </c>
      <c r="S514" s="10">
        <f t="shared" si="32"/>
        <v>27194.620833333334</v>
      </c>
      <c r="T514" s="12">
        <f t="shared" si="31"/>
        <v>27194.720833333333</v>
      </c>
    </row>
    <row r="515" spans="1:20" x14ac:dyDescent="0.35">
      <c r="A515">
        <v>513</v>
      </c>
      <c r="B515" s="4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6">
        <f t="shared" ref="O515:O578" si="33">MAX(0,(E515/D515)*100)</f>
        <v>39.277108433734945</v>
      </c>
      <c r="P515">
        <f t="shared" ref="P515:P578" si="34">IFERROR(AVERAGE(E515/G515),0)</f>
        <v>93.142857142857139</v>
      </c>
      <c r="Q515" t="s">
        <v>2039</v>
      </c>
      <c r="R515" t="s">
        <v>2058</v>
      </c>
      <c r="S515" s="10">
        <f t="shared" si="32"/>
        <v>27055.120833333334</v>
      </c>
      <c r="T515" s="12">
        <f t="shared" ref="T515:T578" si="35">K515/864000+DATE(1970,1,1)</f>
        <v>27055.320833333335</v>
      </c>
    </row>
    <row r="516" spans="1:20" x14ac:dyDescent="0.35">
      <c r="A516">
        <v>514</v>
      </c>
      <c r="B516" s="4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6">
        <f t="shared" si="33"/>
        <v>22.439077144917089</v>
      </c>
      <c r="P516">
        <f t="shared" si="34"/>
        <v>58.945075757575758</v>
      </c>
      <c r="Q516" t="s">
        <v>2033</v>
      </c>
      <c r="R516" t="s">
        <v>2034</v>
      </c>
      <c r="S516" s="10">
        <f t="shared" si="32"/>
        <v>27173.525000000001</v>
      </c>
      <c r="T516" s="12">
        <f t="shared" si="35"/>
        <v>27174.025000000001</v>
      </c>
    </row>
    <row r="517" spans="1:20" x14ac:dyDescent="0.35">
      <c r="A517">
        <v>515</v>
      </c>
      <c r="B517" s="4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6">
        <f t="shared" si="33"/>
        <v>55.779069767441861</v>
      </c>
      <c r="P517">
        <f t="shared" si="34"/>
        <v>36.067669172932334</v>
      </c>
      <c r="Q517" t="s">
        <v>2037</v>
      </c>
      <c r="R517" t="s">
        <v>2038</v>
      </c>
      <c r="S517" s="10">
        <f t="shared" si="32"/>
        <v>27102.125</v>
      </c>
      <c r="T517" s="12">
        <f t="shared" si="35"/>
        <v>27102.325000000001</v>
      </c>
    </row>
    <row r="518" spans="1:20" x14ac:dyDescent="0.35">
      <c r="A518">
        <v>516</v>
      </c>
      <c r="B518" s="4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6">
        <f t="shared" si="33"/>
        <v>42.523125996810208</v>
      </c>
      <c r="P518">
        <f t="shared" si="34"/>
        <v>63.030732860520096</v>
      </c>
      <c r="Q518" t="s">
        <v>2045</v>
      </c>
      <c r="R518" t="s">
        <v>2046</v>
      </c>
      <c r="S518" s="10">
        <f t="shared" si="32"/>
        <v>27051.720833333333</v>
      </c>
      <c r="T518" s="12">
        <f t="shared" si="35"/>
        <v>27055.520833333332</v>
      </c>
    </row>
    <row r="519" spans="1:20" x14ac:dyDescent="0.35">
      <c r="A519">
        <v>517</v>
      </c>
      <c r="B519" s="4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6">
        <f t="shared" si="33"/>
        <v>112.00000000000001</v>
      </c>
      <c r="P519">
        <f t="shared" si="34"/>
        <v>84.717948717948715</v>
      </c>
      <c r="Q519" t="s">
        <v>2031</v>
      </c>
      <c r="R519" t="s">
        <v>2032</v>
      </c>
      <c r="S519" s="10">
        <f t="shared" si="32"/>
        <v>27298.120833333334</v>
      </c>
      <c r="T519" s="12">
        <f t="shared" si="35"/>
        <v>27298.620833333334</v>
      </c>
    </row>
    <row r="520" spans="1:20" ht="31" x14ac:dyDescent="0.35">
      <c r="A520">
        <v>518</v>
      </c>
      <c r="B520" s="4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6">
        <f t="shared" si="33"/>
        <v>7.0681818181818183</v>
      </c>
      <c r="P520">
        <f t="shared" si="34"/>
        <v>62.2</v>
      </c>
      <c r="Q520" t="s">
        <v>2039</v>
      </c>
      <c r="R520" t="s">
        <v>2047</v>
      </c>
      <c r="S520" s="10">
        <f t="shared" si="32"/>
        <v>27327.525000000001</v>
      </c>
      <c r="T520" s="12">
        <f t="shared" si="35"/>
        <v>27327.724999999999</v>
      </c>
    </row>
    <row r="521" spans="1:20" x14ac:dyDescent="0.35">
      <c r="A521">
        <v>519</v>
      </c>
      <c r="B521" s="4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6">
        <f t="shared" si="33"/>
        <v>101.74563871693867</v>
      </c>
      <c r="P521">
        <f t="shared" si="34"/>
        <v>101.97518330513255</v>
      </c>
      <c r="Q521" t="s">
        <v>2033</v>
      </c>
      <c r="R521" t="s">
        <v>2034</v>
      </c>
      <c r="S521" s="10">
        <f t="shared" si="32"/>
        <v>27213.325000000001</v>
      </c>
      <c r="T521" s="12">
        <f t="shared" si="35"/>
        <v>27214.724999999999</v>
      </c>
    </row>
    <row r="522" spans="1:20" x14ac:dyDescent="0.35">
      <c r="A522">
        <v>520</v>
      </c>
      <c r="B522" s="4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6">
        <f t="shared" si="33"/>
        <v>425.75</v>
      </c>
      <c r="P522">
        <f t="shared" si="34"/>
        <v>106.4375</v>
      </c>
      <c r="Q522" t="s">
        <v>2037</v>
      </c>
      <c r="R522" t="s">
        <v>2038</v>
      </c>
      <c r="S522" s="10">
        <f t="shared" si="32"/>
        <v>27369.520833333332</v>
      </c>
      <c r="T522" s="12">
        <f t="shared" si="35"/>
        <v>27369.820833333335</v>
      </c>
    </row>
    <row r="523" spans="1:20" x14ac:dyDescent="0.35">
      <c r="A523">
        <v>521</v>
      </c>
      <c r="B523" s="4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6">
        <f t="shared" si="33"/>
        <v>145.53947368421052</v>
      </c>
      <c r="P523">
        <f t="shared" si="34"/>
        <v>29.975609756097562</v>
      </c>
      <c r="Q523" t="s">
        <v>2039</v>
      </c>
      <c r="R523" t="s">
        <v>2042</v>
      </c>
      <c r="S523" s="10">
        <f t="shared" si="32"/>
        <v>27272.620833333334</v>
      </c>
      <c r="T523" s="12">
        <f t="shared" si="35"/>
        <v>27273.220833333333</v>
      </c>
    </row>
    <row r="524" spans="1:20" ht="31" x14ac:dyDescent="0.35">
      <c r="A524">
        <v>522</v>
      </c>
      <c r="B524" s="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6">
        <f t="shared" si="33"/>
        <v>32.453465346534657</v>
      </c>
      <c r="P524">
        <f t="shared" si="34"/>
        <v>85.806282722513089</v>
      </c>
      <c r="Q524" t="s">
        <v>2039</v>
      </c>
      <c r="R524" t="s">
        <v>2050</v>
      </c>
      <c r="S524" s="10">
        <f t="shared" si="32"/>
        <v>27121.420833333334</v>
      </c>
      <c r="T524" s="12">
        <f t="shared" si="35"/>
        <v>27122.620833333334</v>
      </c>
    </row>
    <row r="525" spans="1:20" x14ac:dyDescent="0.35">
      <c r="A525">
        <v>523</v>
      </c>
      <c r="B525" s="4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6">
        <f t="shared" si="33"/>
        <v>700.33333333333326</v>
      </c>
      <c r="P525">
        <f t="shared" si="34"/>
        <v>70.82022471910112</v>
      </c>
      <c r="Q525" t="s">
        <v>2039</v>
      </c>
      <c r="R525" t="s">
        <v>2050</v>
      </c>
      <c r="S525" s="10">
        <f t="shared" ref="S525:S588" si="36">J:J/864000+DATE(1970,1,1)</f>
        <v>27036.224999999999</v>
      </c>
      <c r="T525" s="12">
        <f t="shared" si="35"/>
        <v>27036.724999999999</v>
      </c>
    </row>
    <row r="526" spans="1:20" x14ac:dyDescent="0.35">
      <c r="A526">
        <v>524</v>
      </c>
      <c r="B526" s="4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6">
        <f t="shared" si="33"/>
        <v>83.904860392967933</v>
      </c>
      <c r="P526">
        <f t="shared" si="34"/>
        <v>40.998484082870135</v>
      </c>
      <c r="Q526" t="s">
        <v>2037</v>
      </c>
      <c r="R526" t="s">
        <v>2038</v>
      </c>
      <c r="S526" s="10">
        <f t="shared" si="36"/>
        <v>27041.520833333332</v>
      </c>
      <c r="T526" s="12">
        <f t="shared" si="35"/>
        <v>27042.820833333335</v>
      </c>
    </row>
    <row r="527" spans="1:20" x14ac:dyDescent="0.35">
      <c r="A527">
        <v>525</v>
      </c>
      <c r="B527" s="4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6">
        <f t="shared" si="33"/>
        <v>84.19047619047619</v>
      </c>
      <c r="P527">
        <f t="shared" si="34"/>
        <v>28.063492063492063</v>
      </c>
      <c r="Q527" t="s">
        <v>2035</v>
      </c>
      <c r="R527" t="s">
        <v>2044</v>
      </c>
      <c r="S527" s="10">
        <f t="shared" si="36"/>
        <v>27062.625</v>
      </c>
      <c r="T527" s="12">
        <f t="shared" si="35"/>
        <v>27063.025000000001</v>
      </c>
    </row>
    <row r="528" spans="1:20" ht="31" x14ac:dyDescent="0.35">
      <c r="A528">
        <v>526</v>
      </c>
      <c r="B528" s="4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6">
        <f t="shared" si="33"/>
        <v>155.95180722891567</v>
      </c>
      <c r="P528">
        <f t="shared" si="34"/>
        <v>88.054421768707485</v>
      </c>
      <c r="Q528" t="s">
        <v>2037</v>
      </c>
      <c r="R528" t="s">
        <v>2038</v>
      </c>
      <c r="S528" s="10">
        <f t="shared" si="36"/>
        <v>27248.525000000001</v>
      </c>
      <c r="T528" s="12">
        <f t="shared" si="35"/>
        <v>27252.224999999999</v>
      </c>
    </row>
    <row r="529" spans="1:20" x14ac:dyDescent="0.35">
      <c r="A529">
        <v>527</v>
      </c>
      <c r="B529" s="4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6">
        <f t="shared" si="33"/>
        <v>99.619450317124731</v>
      </c>
      <c r="P529">
        <f t="shared" si="34"/>
        <v>31</v>
      </c>
      <c r="Q529" t="s">
        <v>2039</v>
      </c>
      <c r="R529" t="s">
        <v>2047</v>
      </c>
      <c r="S529" s="10">
        <f t="shared" si="36"/>
        <v>27252.625</v>
      </c>
      <c r="T529" s="12">
        <f t="shared" si="35"/>
        <v>27256.224999999999</v>
      </c>
    </row>
    <row r="530" spans="1:20" x14ac:dyDescent="0.35">
      <c r="A530">
        <v>528</v>
      </c>
      <c r="B530" s="4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6">
        <f t="shared" si="33"/>
        <v>80.300000000000011</v>
      </c>
      <c r="P530">
        <f t="shared" si="34"/>
        <v>90.337500000000006</v>
      </c>
      <c r="Q530" t="s">
        <v>2033</v>
      </c>
      <c r="R530" t="s">
        <v>2043</v>
      </c>
      <c r="S530" s="10">
        <f t="shared" si="36"/>
        <v>27172.224999999999</v>
      </c>
      <c r="T530" s="12">
        <f t="shared" si="35"/>
        <v>27176.724999999999</v>
      </c>
    </row>
    <row r="531" spans="1:20" x14ac:dyDescent="0.35">
      <c r="A531">
        <v>529</v>
      </c>
      <c r="B531" s="4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6">
        <f t="shared" si="33"/>
        <v>11.254901960784313</v>
      </c>
      <c r="P531">
        <f t="shared" si="34"/>
        <v>63.777777777777779</v>
      </c>
      <c r="Q531" t="s">
        <v>2048</v>
      </c>
      <c r="R531" t="s">
        <v>2049</v>
      </c>
      <c r="S531" s="10">
        <f t="shared" si="36"/>
        <v>27189.020833333332</v>
      </c>
      <c r="T531" s="12">
        <f t="shared" si="35"/>
        <v>27191.820833333335</v>
      </c>
    </row>
    <row r="532" spans="1:20" ht="31" x14ac:dyDescent="0.35">
      <c r="A532">
        <v>530</v>
      </c>
      <c r="B532" s="4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6">
        <f t="shared" si="33"/>
        <v>91.740952380952379</v>
      </c>
      <c r="P532">
        <f t="shared" si="34"/>
        <v>53.995515695067262</v>
      </c>
      <c r="Q532" t="s">
        <v>2045</v>
      </c>
      <c r="R532" t="s">
        <v>2051</v>
      </c>
      <c r="S532" s="10">
        <f t="shared" si="36"/>
        <v>27054.220833333333</v>
      </c>
      <c r="T532" s="12">
        <f t="shared" si="35"/>
        <v>27055.620833333334</v>
      </c>
    </row>
    <row r="533" spans="1:20" ht="31" x14ac:dyDescent="0.35">
      <c r="A533">
        <v>531</v>
      </c>
      <c r="B533" s="4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6">
        <f t="shared" si="33"/>
        <v>95.521156936261391</v>
      </c>
      <c r="P533">
        <f t="shared" si="34"/>
        <v>48.993956043956047</v>
      </c>
      <c r="Q533" t="s">
        <v>2048</v>
      </c>
      <c r="R533" t="s">
        <v>2049</v>
      </c>
      <c r="S533" s="10">
        <f t="shared" si="36"/>
        <v>27171.025000000001</v>
      </c>
      <c r="T533" s="12">
        <f t="shared" si="35"/>
        <v>27176.625</v>
      </c>
    </row>
    <row r="534" spans="1:20" x14ac:dyDescent="0.35">
      <c r="A534">
        <v>532</v>
      </c>
      <c r="B534" s="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6">
        <f t="shared" si="33"/>
        <v>502.87499999999994</v>
      </c>
      <c r="P534">
        <f t="shared" si="34"/>
        <v>63.857142857142854</v>
      </c>
      <c r="Q534" t="s">
        <v>2037</v>
      </c>
      <c r="R534" t="s">
        <v>2038</v>
      </c>
      <c r="S534" s="10">
        <f t="shared" si="36"/>
        <v>27324.625</v>
      </c>
      <c r="T534" s="12">
        <f t="shared" si="35"/>
        <v>27324.724999999999</v>
      </c>
    </row>
    <row r="535" spans="1:20" x14ac:dyDescent="0.35">
      <c r="A535">
        <v>533</v>
      </c>
      <c r="B535" s="4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6">
        <f t="shared" si="33"/>
        <v>159.24394463667818</v>
      </c>
      <c r="P535">
        <f t="shared" si="34"/>
        <v>82.996393146979258</v>
      </c>
      <c r="Q535" t="s">
        <v>2033</v>
      </c>
      <c r="R535" t="s">
        <v>2043</v>
      </c>
      <c r="S535" s="10">
        <f t="shared" si="36"/>
        <v>27160.020833333332</v>
      </c>
      <c r="T535" s="12">
        <f t="shared" si="35"/>
        <v>27163.620833333334</v>
      </c>
    </row>
    <row r="536" spans="1:20" x14ac:dyDescent="0.35">
      <c r="A536">
        <v>534</v>
      </c>
      <c r="B536" s="4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6">
        <f t="shared" si="33"/>
        <v>15.022446689113355</v>
      </c>
      <c r="P536">
        <f t="shared" si="34"/>
        <v>55.08230452674897</v>
      </c>
      <c r="Q536" t="s">
        <v>2039</v>
      </c>
      <c r="R536" t="s">
        <v>2042</v>
      </c>
      <c r="S536" s="10">
        <f t="shared" si="36"/>
        <v>27345.020833333332</v>
      </c>
      <c r="T536" s="12">
        <f t="shared" si="35"/>
        <v>27345.120833333334</v>
      </c>
    </row>
    <row r="537" spans="1:20" x14ac:dyDescent="0.35">
      <c r="A537">
        <v>535</v>
      </c>
      <c r="B537" s="4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6">
        <f t="shared" si="33"/>
        <v>482.03846153846149</v>
      </c>
      <c r="P537">
        <f t="shared" si="34"/>
        <v>62.044554455445542</v>
      </c>
      <c r="Q537" t="s">
        <v>2037</v>
      </c>
      <c r="R537" t="s">
        <v>2038</v>
      </c>
      <c r="S537" s="10">
        <f t="shared" si="36"/>
        <v>27338.020833333332</v>
      </c>
      <c r="T537" s="12">
        <f t="shared" si="35"/>
        <v>27338.220833333333</v>
      </c>
    </row>
    <row r="538" spans="1:20" x14ac:dyDescent="0.35">
      <c r="A538">
        <v>536</v>
      </c>
      <c r="B538" s="4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6">
        <f t="shared" si="33"/>
        <v>149.96938775510205</v>
      </c>
      <c r="P538">
        <f t="shared" si="34"/>
        <v>104.97857142857143</v>
      </c>
      <c r="Q538" t="s">
        <v>2045</v>
      </c>
      <c r="R538" t="s">
        <v>2051</v>
      </c>
      <c r="S538" s="10">
        <f t="shared" si="36"/>
        <v>27053.520833333332</v>
      </c>
      <c r="T538" s="12">
        <f t="shared" si="35"/>
        <v>27056.120833333334</v>
      </c>
    </row>
    <row r="539" spans="1:20" x14ac:dyDescent="0.35">
      <c r="A539">
        <v>537</v>
      </c>
      <c r="B539" s="4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6">
        <f t="shared" si="33"/>
        <v>117.22156398104266</v>
      </c>
      <c r="P539">
        <f t="shared" si="34"/>
        <v>94.044676806083643</v>
      </c>
      <c r="Q539" t="s">
        <v>2039</v>
      </c>
      <c r="R539" t="s">
        <v>2040</v>
      </c>
      <c r="S539" s="10">
        <f t="shared" si="36"/>
        <v>27346.320833333335</v>
      </c>
      <c r="T539" s="12">
        <f t="shared" si="35"/>
        <v>27348.620833333334</v>
      </c>
    </row>
    <row r="540" spans="1:20" x14ac:dyDescent="0.35">
      <c r="A540">
        <v>538</v>
      </c>
      <c r="B540" s="4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6">
        <f t="shared" si="33"/>
        <v>37.695968274950431</v>
      </c>
      <c r="P540">
        <f t="shared" si="34"/>
        <v>44.007716049382715</v>
      </c>
      <c r="Q540" t="s">
        <v>2048</v>
      </c>
      <c r="R540" t="s">
        <v>2059</v>
      </c>
      <c r="S540" s="10">
        <f t="shared" si="36"/>
        <v>27166.020833333332</v>
      </c>
      <c r="T540" s="12">
        <f t="shared" si="35"/>
        <v>27167.620833333334</v>
      </c>
    </row>
    <row r="541" spans="1:20" x14ac:dyDescent="0.35">
      <c r="A541">
        <v>539</v>
      </c>
      <c r="B541" s="4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6">
        <f t="shared" si="33"/>
        <v>72.653061224489804</v>
      </c>
      <c r="P541">
        <f t="shared" si="34"/>
        <v>92.467532467532465</v>
      </c>
      <c r="Q541" t="s">
        <v>2031</v>
      </c>
      <c r="R541" t="s">
        <v>2032</v>
      </c>
      <c r="S541" s="10">
        <f t="shared" si="36"/>
        <v>27376.820833333335</v>
      </c>
      <c r="T541" s="12">
        <f t="shared" si="35"/>
        <v>27377.420833333334</v>
      </c>
    </row>
    <row r="542" spans="1:20" x14ac:dyDescent="0.35">
      <c r="A542">
        <v>540</v>
      </c>
      <c r="B542" s="4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6">
        <f t="shared" si="33"/>
        <v>265.98113207547169</v>
      </c>
      <c r="P542">
        <f t="shared" si="34"/>
        <v>57.072874493927124</v>
      </c>
      <c r="Q542" t="s">
        <v>2052</v>
      </c>
      <c r="R542" t="s">
        <v>2053</v>
      </c>
      <c r="S542" s="10">
        <f t="shared" si="36"/>
        <v>27334.620833333334</v>
      </c>
      <c r="T542" s="12">
        <f t="shared" si="35"/>
        <v>27336.820833333335</v>
      </c>
    </row>
    <row r="543" spans="1:20" x14ac:dyDescent="0.35">
      <c r="A543">
        <v>541</v>
      </c>
      <c r="B543" s="4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6">
        <f t="shared" si="33"/>
        <v>24.205617977528089</v>
      </c>
      <c r="P543">
        <f t="shared" si="34"/>
        <v>109.07848101265823</v>
      </c>
      <c r="Q543" t="s">
        <v>2048</v>
      </c>
      <c r="R543" t="s">
        <v>2059</v>
      </c>
      <c r="S543" s="10">
        <f t="shared" si="36"/>
        <v>27228.620833333334</v>
      </c>
      <c r="T543" s="12">
        <f t="shared" si="35"/>
        <v>27231.220833333333</v>
      </c>
    </row>
    <row r="544" spans="1:20" x14ac:dyDescent="0.35">
      <c r="A544">
        <v>542</v>
      </c>
      <c r="B544" s="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6">
        <f t="shared" si="33"/>
        <v>2.5064935064935066</v>
      </c>
      <c r="P544">
        <f t="shared" si="34"/>
        <v>39.387755102040813</v>
      </c>
      <c r="Q544" t="s">
        <v>2033</v>
      </c>
      <c r="R544" t="s">
        <v>2043</v>
      </c>
      <c r="S544" s="10">
        <f t="shared" si="36"/>
        <v>27251.224999999999</v>
      </c>
      <c r="T544" s="12">
        <f t="shared" si="35"/>
        <v>27254.224999999999</v>
      </c>
    </row>
    <row r="545" spans="1:20" x14ac:dyDescent="0.35">
      <c r="A545">
        <v>543</v>
      </c>
      <c r="B545" s="4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6">
        <f t="shared" si="33"/>
        <v>16.329799764428738</v>
      </c>
      <c r="P545">
        <f t="shared" si="34"/>
        <v>77.022222222222226</v>
      </c>
      <c r="Q545" t="s">
        <v>2048</v>
      </c>
      <c r="R545" t="s">
        <v>2049</v>
      </c>
      <c r="S545" s="10">
        <f t="shared" si="36"/>
        <v>27164.920833333334</v>
      </c>
      <c r="T545" s="12">
        <f t="shared" si="35"/>
        <v>27166.420833333334</v>
      </c>
    </row>
    <row r="546" spans="1:20" ht="31" x14ac:dyDescent="0.35">
      <c r="A546">
        <v>544</v>
      </c>
      <c r="B546" s="4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6">
        <f t="shared" si="33"/>
        <v>276.5</v>
      </c>
      <c r="P546">
        <f t="shared" si="34"/>
        <v>92.166666666666671</v>
      </c>
      <c r="Q546" t="s">
        <v>2033</v>
      </c>
      <c r="R546" t="s">
        <v>2034</v>
      </c>
      <c r="S546" s="10">
        <f t="shared" si="36"/>
        <v>27249.825000000001</v>
      </c>
      <c r="T546" s="12">
        <f t="shared" si="35"/>
        <v>27251.125</v>
      </c>
    </row>
    <row r="547" spans="1:20" x14ac:dyDescent="0.35">
      <c r="A547">
        <v>545</v>
      </c>
      <c r="B547" s="4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6">
        <f t="shared" si="33"/>
        <v>88.803571428571431</v>
      </c>
      <c r="P547">
        <f t="shared" si="34"/>
        <v>61.007063197026021</v>
      </c>
      <c r="Q547" t="s">
        <v>2037</v>
      </c>
      <c r="R547" t="s">
        <v>2038</v>
      </c>
      <c r="S547" s="10">
        <f t="shared" si="36"/>
        <v>27394.525000000001</v>
      </c>
      <c r="T547" s="12">
        <f t="shared" si="35"/>
        <v>27396.525000000001</v>
      </c>
    </row>
    <row r="548" spans="1:20" x14ac:dyDescent="0.35">
      <c r="A548">
        <v>546</v>
      </c>
      <c r="B548" s="4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6">
        <f t="shared" si="33"/>
        <v>163.57142857142856</v>
      </c>
      <c r="P548">
        <f t="shared" si="34"/>
        <v>78.068181818181813</v>
      </c>
      <c r="Q548" t="s">
        <v>2037</v>
      </c>
      <c r="R548" t="s">
        <v>2038</v>
      </c>
      <c r="S548" s="10">
        <f t="shared" si="36"/>
        <v>27348.120833333334</v>
      </c>
      <c r="T548" s="12">
        <f t="shared" si="35"/>
        <v>27348.420833333334</v>
      </c>
    </row>
    <row r="549" spans="1:20" x14ac:dyDescent="0.35">
      <c r="A549">
        <v>547</v>
      </c>
      <c r="B549" s="4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6">
        <f t="shared" si="33"/>
        <v>969</v>
      </c>
      <c r="P549">
        <f t="shared" si="34"/>
        <v>80.75</v>
      </c>
      <c r="Q549" t="s">
        <v>2039</v>
      </c>
      <c r="R549" t="s">
        <v>2042</v>
      </c>
      <c r="S549" s="10">
        <f t="shared" si="36"/>
        <v>27215.025000000001</v>
      </c>
      <c r="T549" s="12">
        <f t="shared" si="35"/>
        <v>27216.224999999999</v>
      </c>
    </row>
    <row r="550" spans="1:20" x14ac:dyDescent="0.35">
      <c r="A550">
        <v>548</v>
      </c>
      <c r="B550" s="4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6">
        <f t="shared" si="33"/>
        <v>270.91376701966715</v>
      </c>
      <c r="P550">
        <f t="shared" si="34"/>
        <v>59.991289782244557</v>
      </c>
      <c r="Q550" t="s">
        <v>2037</v>
      </c>
      <c r="R550" t="s">
        <v>2038</v>
      </c>
      <c r="S550" s="10">
        <f t="shared" si="36"/>
        <v>27258.220833333333</v>
      </c>
      <c r="T550" s="12">
        <f t="shared" si="35"/>
        <v>27259.520833333332</v>
      </c>
    </row>
    <row r="551" spans="1:20" ht="31" x14ac:dyDescent="0.35">
      <c r="A551">
        <v>549</v>
      </c>
      <c r="B551" s="4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6">
        <f t="shared" si="33"/>
        <v>284.21355932203392</v>
      </c>
      <c r="P551">
        <f t="shared" si="34"/>
        <v>110.03018372703411</v>
      </c>
      <c r="Q551" t="s">
        <v>2035</v>
      </c>
      <c r="R551" t="s">
        <v>2044</v>
      </c>
      <c r="S551" s="10">
        <f t="shared" si="36"/>
        <v>27154.320833333335</v>
      </c>
      <c r="T551" s="12">
        <f t="shared" si="35"/>
        <v>27155.220833333333</v>
      </c>
    </row>
    <row r="552" spans="1:20" ht="31" x14ac:dyDescent="0.35">
      <c r="A552">
        <v>550</v>
      </c>
      <c r="B552" s="4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6">
        <f t="shared" si="33"/>
        <v>4</v>
      </c>
      <c r="P552">
        <f t="shared" si="34"/>
        <v>4</v>
      </c>
      <c r="Q552" t="s">
        <v>2033</v>
      </c>
      <c r="R552" t="s">
        <v>2043</v>
      </c>
      <c r="S552" s="10">
        <f t="shared" si="36"/>
        <v>27108.924999999999</v>
      </c>
      <c r="T552" s="12">
        <f t="shared" si="35"/>
        <v>27111.020833333332</v>
      </c>
    </row>
    <row r="553" spans="1:20" x14ac:dyDescent="0.35">
      <c r="A553">
        <v>551</v>
      </c>
      <c r="B553" s="4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6">
        <f t="shared" si="33"/>
        <v>58.6329816768462</v>
      </c>
      <c r="P553">
        <f t="shared" si="34"/>
        <v>37.99856063332134</v>
      </c>
      <c r="Q553" t="s">
        <v>2035</v>
      </c>
      <c r="R553" t="s">
        <v>2036</v>
      </c>
      <c r="S553" s="10">
        <f t="shared" si="36"/>
        <v>27211.424999999999</v>
      </c>
      <c r="T553" s="12">
        <f t="shared" si="35"/>
        <v>27215.424999999999</v>
      </c>
    </row>
    <row r="554" spans="1:20" x14ac:dyDescent="0.35">
      <c r="A554">
        <v>552</v>
      </c>
      <c r="B554" s="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6">
        <f t="shared" si="33"/>
        <v>98.51111111111112</v>
      </c>
      <c r="P554">
        <f t="shared" si="34"/>
        <v>96.369565217391298</v>
      </c>
      <c r="Q554" t="s">
        <v>2037</v>
      </c>
      <c r="R554" t="s">
        <v>2038</v>
      </c>
      <c r="S554" s="10">
        <f t="shared" si="36"/>
        <v>27282.125</v>
      </c>
      <c r="T554" s="12">
        <f t="shared" si="35"/>
        <v>27282.325000000001</v>
      </c>
    </row>
    <row r="555" spans="1:20" ht="31" x14ac:dyDescent="0.35">
      <c r="A555">
        <v>553</v>
      </c>
      <c r="B555" s="4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6">
        <f t="shared" si="33"/>
        <v>43.975381008206334</v>
      </c>
      <c r="P555">
        <f t="shared" si="34"/>
        <v>72.978599221789878</v>
      </c>
      <c r="Q555" t="s">
        <v>2033</v>
      </c>
      <c r="R555" t="s">
        <v>2034</v>
      </c>
      <c r="S555" s="10">
        <f t="shared" si="36"/>
        <v>27066.625</v>
      </c>
      <c r="T555" s="12">
        <f t="shared" si="35"/>
        <v>27066.724999999999</v>
      </c>
    </row>
    <row r="556" spans="1:20" ht="31" x14ac:dyDescent="0.35">
      <c r="A556">
        <v>554</v>
      </c>
      <c r="B556" s="4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6">
        <f t="shared" si="33"/>
        <v>151.66315789473683</v>
      </c>
      <c r="P556">
        <f t="shared" si="34"/>
        <v>26.007220216606498</v>
      </c>
      <c r="Q556" t="s">
        <v>2033</v>
      </c>
      <c r="R556" t="s">
        <v>2043</v>
      </c>
      <c r="S556" s="10">
        <f t="shared" si="36"/>
        <v>27284.424999999999</v>
      </c>
      <c r="T556" s="12">
        <f t="shared" si="35"/>
        <v>27285.025000000001</v>
      </c>
    </row>
    <row r="557" spans="1:20" x14ac:dyDescent="0.35">
      <c r="A557">
        <v>555</v>
      </c>
      <c r="B557" s="4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6">
        <f t="shared" si="33"/>
        <v>223.63492063492063</v>
      </c>
      <c r="P557">
        <f t="shared" si="34"/>
        <v>104.36296296296297</v>
      </c>
      <c r="Q557" t="s">
        <v>2033</v>
      </c>
      <c r="R557" t="s">
        <v>2034</v>
      </c>
      <c r="S557" s="10">
        <f t="shared" si="36"/>
        <v>27185.220833333333</v>
      </c>
      <c r="T557" s="12">
        <f t="shared" si="35"/>
        <v>27188.320833333335</v>
      </c>
    </row>
    <row r="558" spans="1:20" x14ac:dyDescent="0.35">
      <c r="A558">
        <v>556</v>
      </c>
      <c r="B558" s="4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6">
        <f t="shared" si="33"/>
        <v>239.75</v>
      </c>
      <c r="P558">
        <f t="shared" si="34"/>
        <v>102.18852459016394</v>
      </c>
      <c r="Q558" t="s">
        <v>2045</v>
      </c>
      <c r="R558" t="s">
        <v>2057</v>
      </c>
      <c r="S558" s="10">
        <f t="shared" si="36"/>
        <v>27091.320833333335</v>
      </c>
      <c r="T558" s="12">
        <f t="shared" si="35"/>
        <v>27092.020833333332</v>
      </c>
    </row>
    <row r="559" spans="1:20" x14ac:dyDescent="0.35">
      <c r="A559">
        <v>557</v>
      </c>
      <c r="B559" s="4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6">
        <f t="shared" si="33"/>
        <v>199.33333333333334</v>
      </c>
      <c r="P559">
        <f t="shared" si="34"/>
        <v>54.117647058823529</v>
      </c>
      <c r="Q559" t="s">
        <v>2039</v>
      </c>
      <c r="R559" t="s">
        <v>2061</v>
      </c>
      <c r="S559" s="10">
        <f t="shared" si="36"/>
        <v>27240.020833333332</v>
      </c>
      <c r="T559" s="12">
        <f t="shared" si="35"/>
        <v>27240.320833333335</v>
      </c>
    </row>
    <row r="560" spans="1:20" x14ac:dyDescent="0.35">
      <c r="A560">
        <v>558</v>
      </c>
      <c r="B560" s="4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6">
        <f t="shared" si="33"/>
        <v>137.34482758620689</v>
      </c>
      <c r="P560">
        <f t="shared" si="34"/>
        <v>63.222222222222221</v>
      </c>
      <c r="Q560" t="s">
        <v>2037</v>
      </c>
      <c r="R560" t="s">
        <v>2038</v>
      </c>
      <c r="S560" s="10">
        <f t="shared" si="36"/>
        <v>27254.525000000001</v>
      </c>
      <c r="T560" s="12">
        <f t="shared" si="35"/>
        <v>27258.820833333335</v>
      </c>
    </row>
    <row r="561" spans="1:20" x14ac:dyDescent="0.35">
      <c r="A561">
        <v>559</v>
      </c>
      <c r="B561" s="4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6">
        <f t="shared" si="33"/>
        <v>100.9696106362773</v>
      </c>
      <c r="P561">
        <f t="shared" si="34"/>
        <v>104.03228962818004</v>
      </c>
      <c r="Q561" t="s">
        <v>2037</v>
      </c>
      <c r="R561" t="s">
        <v>2038</v>
      </c>
      <c r="S561" s="10">
        <f t="shared" si="36"/>
        <v>27270.520833333332</v>
      </c>
      <c r="T561" s="12">
        <f t="shared" si="35"/>
        <v>27271.220833333333</v>
      </c>
    </row>
    <row r="562" spans="1:20" x14ac:dyDescent="0.35">
      <c r="A562">
        <v>560</v>
      </c>
      <c r="B562" s="4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6">
        <f t="shared" si="33"/>
        <v>794.16</v>
      </c>
      <c r="P562">
        <f t="shared" si="34"/>
        <v>49.994334277620396</v>
      </c>
      <c r="Q562" t="s">
        <v>2039</v>
      </c>
      <c r="R562" t="s">
        <v>2047</v>
      </c>
      <c r="S562" s="10">
        <f t="shared" si="36"/>
        <v>27098.625</v>
      </c>
      <c r="T562" s="12">
        <f t="shared" si="35"/>
        <v>27102.625</v>
      </c>
    </row>
    <row r="563" spans="1:20" x14ac:dyDescent="0.35">
      <c r="A563">
        <v>561</v>
      </c>
      <c r="B563" s="4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6">
        <f t="shared" si="33"/>
        <v>369.7</v>
      </c>
      <c r="P563">
        <f t="shared" si="34"/>
        <v>56.015151515151516</v>
      </c>
      <c r="Q563" t="s">
        <v>2037</v>
      </c>
      <c r="R563" t="s">
        <v>2038</v>
      </c>
      <c r="S563" s="10">
        <f t="shared" si="36"/>
        <v>27095.420833333334</v>
      </c>
      <c r="T563" s="12">
        <f t="shared" si="35"/>
        <v>27095.620833333334</v>
      </c>
    </row>
    <row r="564" spans="1:20" ht="31" x14ac:dyDescent="0.35">
      <c r="A564">
        <v>562</v>
      </c>
      <c r="B564" s="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6">
        <f t="shared" si="33"/>
        <v>12.818181818181817</v>
      </c>
      <c r="P564">
        <f t="shared" si="34"/>
        <v>48.807692307692307</v>
      </c>
      <c r="Q564" t="s">
        <v>2033</v>
      </c>
      <c r="R564" t="s">
        <v>2034</v>
      </c>
      <c r="S564" s="10">
        <f t="shared" si="36"/>
        <v>27365.720833333333</v>
      </c>
      <c r="T564" s="12">
        <f t="shared" si="35"/>
        <v>27365.920833333334</v>
      </c>
    </row>
    <row r="565" spans="1:20" x14ac:dyDescent="0.35">
      <c r="A565">
        <v>563</v>
      </c>
      <c r="B565" s="4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6">
        <f t="shared" si="33"/>
        <v>138.02702702702703</v>
      </c>
      <c r="P565">
        <f t="shared" si="34"/>
        <v>60.082352941176474</v>
      </c>
      <c r="Q565" t="s">
        <v>2039</v>
      </c>
      <c r="R565" t="s">
        <v>2040</v>
      </c>
      <c r="S565" s="10">
        <f t="shared" si="36"/>
        <v>27353.825000000001</v>
      </c>
      <c r="T565" s="12">
        <f t="shared" si="35"/>
        <v>27355.825000000001</v>
      </c>
    </row>
    <row r="566" spans="1:20" x14ac:dyDescent="0.35">
      <c r="A566">
        <v>564</v>
      </c>
      <c r="B566" s="4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6">
        <f t="shared" si="33"/>
        <v>83.813278008298752</v>
      </c>
      <c r="P566">
        <f t="shared" si="34"/>
        <v>78.990502793296088</v>
      </c>
      <c r="Q566" t="s">
        <v>2037</v>
      </c>
      <c r="R566" t="s">
        <v>2038</v>
      </c>
      <c r="S566" s="10">
        <f t="shared" si="36"/>
        <v>27219.920833333334</v>
      </c>
      <c r="T566" s="12">
        <f t="shared" si="35"/>
        <v>27220.720833333333</v>
      </c>
    </row>
    <row r="567" spans="1:20" x14ac:dyDescent="0.35">
      <c r="A567">
        <v>565</v>
      </c>
      <c r="B567" s="4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6">
        <f t="shared" si="33"/>
        <v>204.60063224446787</v>
      </c>
      <c r="P567">
        <f t="shared" si="34"/>
        <v>53.99499443826474</v>
      </c>
      <c r="Q567" t="s">
        <v>2037</v>
      </c>
      <c r="R567" t="s">
        <v>2038</v>
      </c>
      <c r="S567" s="10">
        <f t="shared" si="36"/>
        <v>27098.325000000001</v>
      </c>
      <c r="T567" s="12">
        <f t="shared" si="35"/>
        <v>27100.325000000001</v>
      </c>
    </row>
    <row r="568" spans="1:20" x14ac:dyDescent="0.35">
      <c r="A568">
        <v>566</v>
      </c>
      <c r="B568" s="4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6">
        <f t="shared" si="33"/>
        <v>44.344086021505376</v>
      </c>
      <c r="P568">
        <f t="shared" si="34"/>
        <v>111.45945945945945</v>
      </c>
      <c r="Q568" t="s">
        <v>2033</v>
      </c>
      <c r="R568" t="s">
        <v>2041</v>
      </c>
      <c r="S568" s="10">
        <f t="shared" si="36"/>
        <v>27254.525000000001</v>
      </c>
      <c r="T568" s="12">
        <f t="shared" si="35"/>
        <v>27256.820833333335</v>
      </c>
    </row>
    <row r="569" spans="1:20" ht="31" x14ac:dyDescent="0.35">
      <c r="A569">
        <v>567</v>
      </c>
      <c r="B569" s="4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6">
        <f t="shared" si="33"/>
        <v>218.60294117647058</v>
      </c>
      <c r="P569">
        <f t="shared" si="34"/>
        <v>60.922131147540981</v>
      </c>
      <c r="Q569" t="s">
        <v>2033</v>
      </c>
      <c r="R569" t="s">
        <v>2034</v>
      </c>
      <c r="S569" s="10">
        <f t="shared" si="36"/>
        <v>27195.120833333334</v>
      </c>
      <c r="T569" s="12">
        <f t="shared" si="35"/>
        <v>27195.320833333335</v>
      </c>
    </row>
    <row r="570" spans="1:20" x14ac:dyDescent="0.35">
      <c r="A570">
        <v>568</v>
      </c>
      <c r="B570" s="4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6">
        <f t="shared" si="33"/>
        <v>186.03314917127071</v>
      </c>
      <c r="P570">
        <f t="shared" si="34"/>
        <v>26.0015444015444</v>
      </c>
      <c r="Q570" t="s">
        <v>2037</v>
      </c>
      <c r="R570" t="s">
        <v>2038</v>
      </c>
      <c r="S570" s="10">
        <f t="shared" si="36"/>
        <v>27049.520833333332</v>
      </c>
      <c r="T570" s="12">
        <f t="shared" si="35"/>
        <v>27054.020833333332</v>
      </c>
    </row>
    <row r="571" spans="1:20" x14ac:dyDescent="0.35">
      <c r="A571">
        <v>569</v>
      </c>
      <c r="B571" s="4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6">
        <f t="shared" si="33"/>
        <v>237.33830845771143</v>
      </c>
      <c r="P571">
        <f t="shared" si="34"/>
        <v>80.993208828522924</v>
      </c>
      <c r="Q571" t="s">
        <v>2039</v>
      </c>
      <c r="R571" t="s">
        <v>2047</v>
      </c>
      <c r="S571" s="10">
        <f t="shared" si="36"/>
        <v>27067.525000000001</v>
      </c>
      <c r="T571" s="12">
        <f t="shared" si="35"/>
        <v>27068.724999999999</v>
      </c>
    </row>
    <row r="572" spans="1:20" x14ac:dyDescent="0.35">
      <c r="A572">
        <v>570</v>
      </c>
      <c r="B572" s="4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6">
        <f t="shared" si="33"/>
        <v>305.65384615384613</v>
      </c>
      <c r="P572">
        <f t="shared" si="34"/>
        <v>34.995963302752294</v>
      </c>
      <c r="Q572" t="s">
        <v>2033</v>
      </c>
      <c r="R572" t="s">
        <v>2034</v>
      </c>
      <c r="S572" s="10">
        <f t="shared" si="36"/>
        <v>27211.424999999999</v>
      </c>
      <c r="T572" s="12">
        <f t="shared" si="35"/>
        <v>27212.025000000001</v>
      </c>
    </row>
    <row r="573" spans="1:20" x14ac:dyDescent="0.35">
      <c r="A573">
        <v>571</v>
      </c>
      <c r="B573" s="4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6">
        <f t="shared" si="33"/>
        <v>94.142857142857139</v>
      </c>
      <c r="P573">
        <f t="shared" si="34"/>
        <v>94.142857142857139</v>
      </c>
      <c r="Q573" t="s">
        <v>2039</v>
      </c>
      <c r="R573" t="s">
        <v>2050</v>
      </c>
      <c r="S573" s="10">
        <f t="shared" si="36"/>
        <v>27229.520833333332</v>
      </c>
      <c r="T573" s="12">
        <f t="shared" si="35"/>
        <v>27234.220833333333</v>
      </c>
    </row>
    <row r="574" spans="1:20" x14ac:dyDescent="0.35">
      <c r="A574">
        <v>572</v>
      </c>
      <c r="B574" s="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6">
        <f t="shared" si="33"/>
        <v>54.400000000000006</v>
      </c>
      <c r="P574">
        <f t="shared" si="34"/>
        <v>52.085106382978722</v>
      </c>
      <c r="Q574" t="s">
        <v>2033</v>
      </c>
      <c r="R574" t="s">
        <v>2034</v>
      </c>
      <c r="S574" s="10">
        <f t="shared" si="36"/>
        <v>27239.620833333334</v>
      </c>
      <c r="T574" s="12">
        <f t="shared" si="35"/>
        <v>27241.220833333333</v>
      </c>
    </row>
    <row r="575" spans="1:20" x14ac:dyDescent="0.35">
      <c r="A575">
        <v>573</v>
      </c>
      <c r="B575" s="4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6">
        <f t="shared" si="33"/>
        <v>111.88059701492537</v>
      </c>
      <c r="P575">
        <f t="shared" si="34"/>
        <v>24.986666666666668</v>
      </c>
      <c r="Q575" t="s">
        <v>2062</v>
      </c>
      <c r="R575" t="s">
        <v>2063</v>
      </c>
      <c r="S575" s="10">
        <f t="shared" si="36"/>
        <v>27188.220833333333</v>
      </c>
      <c r="T575" s="12">
        <f t="shared" si="35"/>
        <v>27188.420833333334</v>
      </c>
    </row>
    <row r="576" spans="1:20" x14ac:dyDescent="0.35">
      <c r="A576">
        <v>574</v>
      </c>
      <c r="B576" s="4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6">
        <f t="shared" si="33"/>
        <v>369.14814814814815</v>
      </c>
      <c r="P576">
        <f t="shared" si="34"/>
        <v>69.215277777777771</v>
      </c>
      <c r="Q576" t="s">
        <v>2031</v>
      </c>
      <c r="R576" t="s">
        <v>2032</v>
      </c>
      <c r="S576" s="10">
        <f t="shared" si="36"/>
        <v>27392.724999999999</v>
      </c>
      <c r="T576" s="12">
        <f t="shared" si="35"/>
        <v>27393.724999999999</v>
      </c>
    </row>
    <row r="577" spans="1:20" x14ac:dyDescent="0.35">
      <c r="A577">
        <v>575</v>
      </c>
      <c r="B577" s="4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6">
        <f t="shared" si="33"/>
        <v>62.930372148859547</v>
      </c>
      <c r="P577">
        <f t="shared" si="34"/>
        <v>93.944444444444443</v>
      </c>
      <c r="Q577" t="s">
        <v>2037</v>
      </c>
      <c r="R577" t="s">
        <v>2038</v>
      </c>
      <c r="S577" s="10">
        <f t="shared" si="36"/>
        <v>27190.020833333332</v>
      </c>
      <c r="T577" s="12">
        <f t="shared" si="35"/>
        <v>27190.320833333335</v>
      </c>
    </row>
    <row r="578" spans="1:20" ht="31" x14ac:dyDescent="0.35">
      <c r="A578">
        <v>576</v>
      </c>
      <c r="B578" s="4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6">
        <f t="shared" si="33"/>
        <v>64.927835051546396</v>
      </c>
      <c r="P578">
        <f t="shared" si="34"/>
        <v>98.40625</v>
      </c>
      <c r="Q578" t="s">
        <v>2037</v>
      </c>
      <c r="R578" t="s">
        <v>2038</v>
      </c>
      <c r="S578" s="10">
        <f t="shared" si="36"/>
        <v>27316.120833333334</v>
      </c>
      <c r="T578" s="12">
        <f t="shared" si="35"/>
        <v>27317.825000000001</v>
      </c>
    </row>
    <row r="579" spans="1:20" x14ac:dyDescent="0.35">
      <c r="A579">
        <v>577</v>
      </c>
      <c r="B579" s="4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6">
        <f t="shared" ref="O579:O642" si="37">MAX(0,(E579/D579)*100)</f>
        <v>18.853658536585368</v>
      </c>
      <c r="P579">
        <f t="shared" ref="P579:P642" si="38">IFERROR(AVERAGE(E579/G579),0)</f>
        <v>41.783783783783782</v>
      </c>
      <c r="Q579" t="s">
        <v>2033</v>
      </c>
      <c r="R579" t="s">
        <v>2056</v>
      </c>
      <c r="S579" s="10">
        <f t="shared" si="36"/>
        <v>27073.424999999999</v>
      </c>
      <c r="T579" s="12">
        <f t="shared" ref="T579:T642" si="39">K579/864000+DATE(1970,1,1)</f>
        <v>27076.020833333332</v>
      </c>
    </row>
    <row r="580" spans="1:20" x14ac:dyDescent="0.35">
      <c r="A580">
        <v>578</v>
      </c>
      <c r="B580" s="4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6">
        <f t="shared" si="37"/>
        <v>16.754404145077721</v>
      </c>
      <c r="P580">
        <f t="shared" si="38"/>
        <v>65.991836734693877</v>
      </c>
      <c r="Q580" t="s">
        <v>2039</v>
      </c>
      <c r="R580" t="s">
        <v>2061</v>
      </c>
      <c r="S580" s="10">
        <f t="shared" si="36"/>
        <v>27099.924999999999</v>
      </c>
      <c r="T580" s="12">
        <f t="shared" si="39"/>
        <v>27100.224999999999</v>
      </c>
    </row>
    <row r="581" spans="1:20" x14ac:dyDescent="0.35">
      <c r="A581">
        <v>579</v>
      </c>
      <c r="B581" s="4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6">
        <f t="shared" si="37"/>
        <v>101.11290322580646</v>
      </c>
      <c r="P581">
        <f t="shared" si="38"/>
        <v>72.05747126436782</v>
      </c>
      <c r="Q581" t="s">
        <v>2033</v>
      </c>
      <c r="R581" t="s">
        <v>2056</v>
      </c>
      <c r="S581" s="10">
        <f t="shared" si="36"/>
        <v>27088.320833333335</v>
      </c>
      <c r="T581" s="12">
        <f t="shared" si="39"/>
        <v>27089.520833333332</v>
      </c>
    </row>
    <row r="582" spans="1:20" x14ac:dyDescent="0.35">
      <c r="A582">
        <v>580</v>
      </c>
      <c r="B582" s="4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6">
        <f t="shared" si="37"/>
        <v>341.5022831050228</v>
      </c>
      <c r="P582">
        <f t="shared" si="38"/>
        <v>48.003209242618745</v>
      </c>
      <c r="Q582" t="s">
        <v>2037</v>
      </c>
      <c r="R582" t="s">
        <v>2038</v>
      </c>
      <c r="S582" s="10">
        <f t="shared" si="36"/>
        <v>27181.724999999999</v>
      </c>
      <c r="T582" s="12">
        <f t="shared" si="39"/>
        <v>27182.525000000001</v>
      </c>
    </row>
    <row r="583" spans="1:20" x14ac:dyDescent="0.35">
      <c r="A583">
        <v>581</v>
      </c>
      <c r="B583" s="4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6">
        <f t="shared" si="37"/>
        <v>64.016666666666666</v>
      </c>
      <c r="P583">
        <f t="shared" si="38"/>
        <v>54.098591549295776</v>
      </c>
      <c r="Q583" t="s">
        <v>2035</v>
      </c>
      <c r="R583" t="s">
        <v>2036</v>
      </c>
      <c r="S583" s="10">
        <f t="shared" si="36"/>
        <v>27078.320833333335</v>
      </c>
      <c r="T583" s="12">
        <f t="shared" si="39"/>
        <v>27079.820833333335</v>
      </c>
    </row>
    <row r="584" spans="1:20" x14ac:dyDescent="0.35">
      <c r="A584">
        <v>582</v>
      </c>
      <c r="B584" s="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6">
        <f t="shared" si="37"/>
        <v>52.080459770114942</v>
      </c>
      <c r="P584">
        <f t="shared" si="38"/>
        <v>107.88095238095238</v>
      </c>
      <c r="Q584" t="s">
        <v>2048</v>
      </c>
      <c r="R584" t="s">
        <v>2049</v>
      </c>
      <c r="S584" s="10">
        <f t="shared" si="36"/>
        <v>27228.620833333334</v>
      </c>
      <c r="T584" s="12">
        <f t="shared" si="39"/>
        <v>27229.120833333334</v>
      </c>
    </row>
    <row r="585" spans="1:20" ht="31" x14ac:dyDescent="0.35">
      <c r="A585">
        <v>583</v>
      </c>
      <c r="B585" s="4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6">
        <f t="shared" si="37"/>
        <v>322.40211640211641</v>
      </c>
      <c r="P585">
        <f t="shared" si="38"/>
        <v>67.034103410341032</v>
      </c>
      <c r="Q585" t="s">
        <v>2039</v>
      </c>
      <c r="R585" t="s">
        <v>2040</v>
      </c>
      <c r="S585" s="10">
        <f t="shared" si="36"/>
        <v>27108.025000000001</v>
      </c>
      <c r="T585" s="12">
        <f t="shared" si="39"/>
        <v>27109.724999999999</v>
      </c>
    </row>
    <row r="586" spans="1:20" x14ac:dyDescent="0.35">
      <c r="A586">
        <v>584</v>
      </c>
      <c r="B586" s="4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6">
        <f t="shared" si="37"/>
        <v>119.50810185185186</v>
      </c>
      <c r="P586">
        <f t="shared" si="38"/>
        <v>64.01425914445133</v>
      </c>
      <c r="Q586" t="s">
        <v>2035</v>
      </c>
      <c r="R586" t="s">
        <v>2036</v>
      </c>
      <c r="S586" s="10">
        <f t="shared" si="36"/>
        <v>27114.520833333332</v>
      </c>
      <c r="T586" s="12">
        <f t="shared" si="39"/>
        <v>27115.920833333334</v>
      </c>
    </row>
    <row r="587" spans="1:20" x14ac:dyDescent="0.35">
      <c r="A587">
        <v>585</v>
      </c>
      <c r="B587" s="4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6">
        <f t="shared" si="37"/>
        <v>146.79775280898878</v>
      </c>
      <c r="P587">
        <f t="shared" si="38"/>
        <v>96.066176470588232</v>
      </c>
      <c r="Q587" t="s">
        <v>2045</v>
      </c>
      <c r="R587" t="s">
        <v>2057</v>
      </c>
      <c r="S587" s="10">
        <f t="shared" si="36"/>
        <v>27037.620833333334</v>
      </c>
      <c r="T587" s="12">
        <f t="shared" si="39"/>
        <v>27038.620833333334</v>
      </c>
    </row>
    <row r="588" spans="1:20" x14ac:dyDescent="0.35">
      <c r="A588">
        <v>586</v>
      </c>
      <c r="B588" s="4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6">
        <f t="shared" si="37"/>
        <v>950.57142857142856</v>
      </c>
      <c r="P588">
        <f t="shared" si="38"/>
        <v>51.184615384615384</v>
      </c>
      <c r="Q588" t="s">
        <v>2033</v>
      </c>
      <c r="R588" t="s">
        <v>2034</v>
      </c>
      <c r="S588" s="10">
        <f t="shared" si="36"/>
        <v>27062.025000000001</v>
      </c>
      <c r="T588" s="12">
        <f t="shared" si="39"/>
        <v>27063.924999999999</v>
      </c>
    </row>
    <row r="589" spans="1:20" x14ac:dyDescent="0.35">
      <c r="A589">
        <v>587</v>
      </c>
      <c r="B589" s="4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6">
        <f t="shared" si="37"/>
        <v>72.893617021276597</v>
      </c>
      <c r="P589">
        <f t="shared" si="38"/>
        <v>43.92307692307692</v>
      </c>
      <c r="Q589" t="s">
        <v>2031</v>
      </c>
      <c r="R589" t="s">
        <v>2032</v>
      </c>
      <c r="S589" s="10">
        <f t="shared" ref="S589:S652" si="40">J:J/864000+DATE(1970,1,1)</f>
        <v>27360.525000000001</v>
      </c>
      <c r="T589" s="12">
        <f t="shared" si="39"/>
        <v>27365.720833333333</v>
      </c>
    </row>
    <row r="590" spans="1:20" x14ac:dyDescent="0.35">
      <c r="A590">
        <v>588</v>
      </c>
      <c r="B590" s="4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6">
        <f t="shared" si="37"/>
        <v>79.008248730964468</v>
      </c>
      <c r="P590">
        <f t="shared" si="38"/>
        <v>91.021198830409361</v>
      </c>
      <c r="Q590" t="s">
        <v>2037</v>
      </c>
      <c r="R590" t="s">
        <v>2038</v>
      </c>
      <c r="S590" s="10">
        <f t="shared" si="40"/>
        <v>27038.320833333335</v>
      </c>
      <c r="T590" s="12">
        <f t="shared" si="39"/>
        <v>27041.420833333334</v>
      </c>
    </row>
    <row r="591" spans="1:20" x14ac:dyDescent="0.35">
      <c r="A591">
        <v>589</v>
      </c>
      <c r="B591" s="4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6">
        <f t="shared" si="37"/>
        <v>64.721518987341781</v>
      </c>
      <c r="P591">
        <f t="shared" si="38"/>
        <v>50.127450980392155</v>
      </c>
      <c r="Q591" t="s">
        <v>2039</v>
      </c>
      <c r="R591" t="s">
        <v>2040</v>
      </c>
      <c r="S591" s="10">
        <f t="shared" si="40"/>
        <v>27231.120833333334</v>
      </c>
      <c r="T591" s="12">
        <f t="shared" si="39"/>
        <v>27231.820833333335</v>
      </c>
    </row>
    <row r="592" spans="1:20" ht="31" x14ac:dyDescent="0.35">
      <c r="A592">
        <v>590</v>
      </c>
      <c r="B592" s="4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6">
        <f t="shared" si="37"/>
        <v>82.028169014084511</v>
      </c>
      <c r="P592">
        <f t="shared" si="38"/>
        <v>67.720930232558146</v>
      </c>
      <c r="Q592" t="s">
        <v>2045</v>
      </c>
      <c r="R592" t="s">
        <v>2054</v>
      </c>
      <c r="S592" s="10">
        <f t="shared" si="40"/>
        <v>27211.525000000001</v>
      </c>
      <c r="T592" s="12">
        <f t="shared" si="39"/>
        <v>27212.625</v>
      </c>
    </row>
    <row r="593" spans="1:20" x14ac:dyDescent="0.35">
      <c r="A593">
        <v>591</v>
      </c>
      <c r="B593" s="4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6">
        <f t="shared" si="37"/>
        <v>1037.6666666666667</v>
      </c>
      <c r="P593">
        <f t="shared" si="38"/>
        <v>61.03921568627451</v>
      </c>
      <c r="Q593" t="s">
        <v>2048</v>
      </c>
      <c r="R593" t="s">
        <v>2049</v>
      </c>
      <c r="S593" s="10">
        <f t="shared" si="40"/>
        <v>27049.420833333334</v>
      </c>
      <c r="T593" s="12">
        <f t="shared" si="39"/>
        <v>27050.420833333334</v>
      </c>
    </row>
    <row r="594" spans="1:20" ht="31" x14ac:dyDescent="0.35">
      <c r="A594">
        <v>592</v>
      </c>
      <c r="B594" s="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6">
        <f t="shared" si="37"/>
        <v>12.910076530612244</v>
      </c>
      <c r="P594">
        <f t="shared" si="38"/>
        <v>80.011857707509876</v>
      </c>
      <c r="Q594" t="s">
        <v>2037</v>
      </c>
      <c r="R594" t="s">
        <v>2038</v>
      </c>
      <c r="S594" s="10">
        <f t="shared" si="40"/>
        <v>27191.020833333332</v>
      </c>
      <c r="T594" s="12">
        <f t="shared" si="39"/>
        <v>27191.920833333334</v>
      </c>
    </row>
    <row r="595" spans="1:20" x14ac:dyDescent="0.35">
      <c r="A595">
        <v>593</v>
      </c>
      <c r="B595" s="4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6">
        <f t="shared" si="37"/>
        <v>154.84210526315789</v>
      </c>
      <c r="P595">
        <f t="shared" si="38"/>
        <v>47.001497753369947</v>
      </c>
      <c r="Q595" t="s">
        <v>2039</v>
      </c>
      <c r="R595" t="s">
        <v>2047</v>
      </c>
      <c r="S595" s="10">
        <f t="shared" si="40"/>
        <v>27184.520833333332</v>
      </c>
      <c r="T595" s="12">
        <f t="shared" si="39"/>
        <v>27185.820833333335</v>
      </c>
    </row>
    <row r="596" spans="1:20" ht="31" x14ac:dyDescent="0.35">
      <c r="A596">
        <v>594</v>
      </c>
      <c r="B596" s="4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6">
        <f t="shared" si="37"/>
        <v>7.0991735537190088</v>
      </c>
      <c r="P596">
        <f t="shared" si="38"/>
        <v>71.127388535031841</v>
      </c>
      <c r="Q596" t="s">
        <v>2037</v>
      </c>
      <c r="R596" t="s">
        <v>2038</v>
      </c>
      <c r="S596" s="10">
        <f t="shared" si="40"/>
        <v>27266.920833333334</v>
      </c>
      <c r="T596" s="12">
        <f t="shared" si="39"/>
        <v>27267.220833333333</v>
      </c>
    </row>
    <row r="597" spans="1:20" ht="31" x14ac:dyDescent="0.35">
      <c r="A597">
        <v>595</v>
      </c>
      <c r="B597" s="4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6">
        <f t="shared" si="37"/>
        <v>208.52773826458036</v>
      </c>
      <c r="P597">
        <f t="shared" si="38"/>
        <v>89.99079189686924</v>
      </c>
      <c r="Q597" t="s">
        <v>2037</v>
      </c>
      <c r="R597" t="s">
        <v>2038</v>
      </c>
      <c r="S597" s="10">
        <f t="shared" si="40"/>
        <v>27037.420833333334</v>
      </c>
      <c r="T597" s="12">
        <f t="shared" si="39"/>
        <v>27039.520833333332</v>
      </c>
    </row>
    <row r="598" spans="1:20" x14ac:dyDescent="0.35">
      <c r="A598">
        <v>596</v>
      </c>
      <c r="B598" s="4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6">
        <f t="shared" si="37"/>
        <v>99.683544303797461</v>
      </c>
      <c r="P598">
        <f t="shared" si="38"/>
        <v>43.032786885245905</v>
      </c>
      <c r="Q598" t="s">
        <v>2039</v>
      </c>
      <c r="R598" t="s">
        <v>2042</v>
      </c>
      <c r="S598" s="10">
        <f t="shared" si="40"/>
        <v>27255.525000000001</v>
      </c>
      <c r="T598" s="12">
        <f t="shared" si="39"/>
        <v>27256.224999999999</v>
      </c>
    </row>
    <row r="599" spans="1:20" x14ac:dyDescent="0.35">
      <c r="A599">
        <v>597</v>
      </c>
      <c r="B599" s="4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6">
        <f t="shared" si="37"/>
        <v>201.59756097560978</v>
      </c>
      <c r="P599">
        <f t="shared" si="38"/>
        <v>67.997714808043881</v>
      </c>
      <c r="Q599" t="s">
        <v>2037</v>
      </c>
      <c r="R599" t="s">
        <v>2038</v>
      </c>
      <c r="S599" s="10">
        <f t="shared" si="40"/>
        <v>27390.724999999999</v>
      </c>
      <c r="T599" s="12">
        <f t="shared" si="39"/>
        <v>27392.525000000001</v>
      </c>
    </row>
    <row r="600" spans="1:20" x14ac:dyDescent="0.35">
      <c r="A600">
        <v>598</v>
      </c>
      <c r="B600" s="4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6">
        <f t="shared" si="37"/>
        <v>162.09032258064516</v>
      </c>
      <c r="P600">
        <f t="shared" si="38"/>
        <v>73.004566210045667</v>
      </c>
      <c r="Q600" t="s">
        <v>2033</v>
      </c>
      <c r="R600" t="s">
        <v>2034</v>
      </c>
      <c r="S600" s="10">
        <f t="shared" si="40"/>
        <v>27046.520833333332</v>
      </c>
      <c r="T600" s="12">
        <f t="shared" si="39"/>
        <v>27049.420833333334</v>
      </c>
    </row>
    <row r="601" spans="1:20" ht="31" x14ac:dyDescent="0.35">
      <c r="A601">
        <v>599</v>
      </c>
      <c r="B601" s="4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6">
        <f t="shared" si="37"/>
        <v>3.6436208125445471</v>
      </c>
      <c r="P601">
        <f t="shared" si="38"/>
        <v>62.341463414634148</v>
      </c>
      <c r="Q601" t="s">
        <v>2039</v>
      </c>
      <c r="R601" t="s">
        <v>2040</v>
      </c>
      <c r="S601" s="10">
        <f t="shared" si="40"/>
        <v>27216.825000000001</v>
      </c>
      <c r="T601" s="12">
        <f t="shared" si="39"/>
        <v>27217.625</v>
      </c>
    </row>
    <row r="602" spans="1:20" x14ac:dyDescent="0.35">
      <c r="A602">
        <v>600</v>
      </c>
      <c r="B602" s="4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6">
        <f t="shared" si="37"/>
        <v>5</v>
      </c>
      <c r="P602">
        <f t="shared" si="38"/>
        <v>5</v>
      </c>
      <c r="Q602" t="s">
        <v>2031</v>
      </c>
      <c r="R602" t="s">
        <v>2032</v>
      </c>
      <c r="S602" s="10">
        <f t="shared" si="40"/>
        <v>27160.620833333334</v>
      </c>
      <c r="T602" s="12">
        <f t="shared" si="39"/>
        <v>27161.820833333335</v>
      </c>
    </row>
    <row r="603" spans="1:20" x14ac:dyDescent="0.35">
      <c r="A603">
        <v>601</v>
      </c>
      <c r="B603" s="4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6">
        <f t="shared" si="37"/>
        <v>206.63492063492063</v>
      </c>
      <c r="P603">
        <f t="shared" si="38"/>
        <v>67.103092783505161</v>
      </c>
      <c r="Q603" t="s">
        <v>2035</v>
      </c>
      <c r="R603" t="s">
        <v>2044</v>
      </c>
      <c r="S603" s="10">
        <f t="shared" si="40"/>
        <v>27191.020833333332</v>
      </c>
      <c r="T603" s="12">
        <f t="shared" si="39"/>
        <v>27192.720833333333</v>
      </c>
    </row>
    <row r="604" spans="1:20" ht="31" x14ac:dyDescent="0.35">
      <c r="A604">
        <v>602</v>
      </c>
      <c r="B604" s="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6">
        <f t="shared" si="37"/>
        <v>128.23628691983123</v>
      </c>
      <c r="P604">
        <f t="shared" si="38"/>
        <v>79.978947368421046</v>
      </c>
      <c r="Q604" t="s">
        <v>2037</v>
      </c>
      <c r="R604" t="s">
        <v>2038</v>
      </c>
      <c r="S604" s="10">
        <f t="shared" si="40"/>
        <v>27228.120833333334</v>
      </c>
      <c r="T604" s="12">
        <f t="shared" si="39"/>
        <v>27229.220833333333</v>
      </c>
    </row>
    <row r="605" spans="1:20" x14ac:dyDescent="0.35">
      <c r="A605">
        <v>603</v>
      </c>
      <c r="B605" s="4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6">
        <f t="shared" si="37"/>
        <v>119.66037735849055</v>
      </c>
      <c r="P605">
        <f t="shared" si="38"/>
        <v>62.176470588235297</v>
      </c>
      <c r="Q605" t="s">
        <v>2037</v>
      </c>
      <c r="R605" t="s">
        <v>2038</v>
      </c>
      <c r="S605" s="10">
        <f t="shared" si="40"/>
        <v>27369.420833333334</v>
      </c>
      <c r="T605" s="12">
        <f t="shared" si="39"/>
        <v>27372.120833333334</v>
      </c>
    </row>
    <row r="606" spans="1:20" x14ac:dyDescent="0.35">
      <c r="A606">
        <v>604</v>
      </c>
      <c r="B606" s="4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6">
        <f t="shared" si="37"/>
        <v>170.73055242390078</v>
      </c>
      <c r="P606">
        <f t="shared" si="38"/>
        <v>53.005950297514879</v>
      </c>
      <c r="Q606" t="s">
        <v>2037</v>
      </c>
      <c r="R606" t="s">
        <v>2038</v>
      </c>
      <c r="S606" s="10">
        <f t="shared" si="40"/>
        <v>27068.625</v>
      </c>
      <c r="T606" s="12">
        <f t="shared" si="39"/>
        <v>27070.724999999999</v>
      </c>
    </row>
    <row r="607" spans="1:20" x14ac:dyDescent="0.35">
      <c r="A607">
        <v>605</v>
      </c>
      <c r="B607" s="4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6">
        <f t="shared" si="37"/>
        <v>187.21212121212122</v>
      </c>
      <c r="P607">
        <f t="shared" si="38"/>
        <v>57.738317757009348</v>
      </c>
      <c r="Q607" t="s">
        <v>2045</v>
      </c>
      <c r="R607" t="s">
        <v>2046</v>
      </c>
      <c r="S607" s="10">
        <f t="shared" si="40"/>
        <v>27240.120833333334</v>
      </c>
      <c r="T607" s="12">
        <f t="shared" si="39"/>
        <v>27244.224999999999</v>
      </c>
    </row>
    <row r="608" spans="1:20" x14ac:dyDescent="0.35">
      <c r="A608">
        <v>606</v>
      </c>
      <c r="B608" s="4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6">
        <f t="shared" si="37"/>
        <v>188.38235294117646</v>
      </c>
      <c r="P608">
        <f t="shared" si="38"/>
        <v>40.03125</v>
      </c>
      <c r="Q608" t="s">
        <v>2033</v>
      </c>
      <c r="R608" t="s">
        <v>2034</v>
      </c>
      <c r="S608" s="10">
        <f t="shared" si="40"/>
        <v>27255.724999999999</v>
      </c>
      <c r="T608" s="12">
        <f t="shared" si="39"/>
        <v>27256.820833333335</v>
      </c>
    </row>
    <row r="609" spans="1:20" x14ac:dyDescent="0.35">
      <c r="A609">
        <v>607</v>
      </c>
      <c r="B609" s="4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6">
        <f t="shared" si="37"/>
        <v>131.29869186046511</v>
      </c>
      <c r="P609">
        <f t="shared" si="38"/>
        <v>81.016591928251117</v>
      </c>
      <c r="Q609" t="s">
        <v>2031</v>
      </c>
      <c r="R609" t="s">
        <v>2032</v>
      </c>
      <c r="S609" s="10">
        <f t="shared" si="40"/>
        <v>27184.220833333333</v>
      </c>
      <c r="T609" s="12">
        <f t="shared" si="39"/>
        <v>27184.420833333334</v>
      </c>
    </row>
    <row r="610" spans="1:20" x14ac:dyDescent="0.35">
      <c r="A610">
        <v>608</v>
      </c>
      <c r="B610" s="4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6">
        <f t="shared" si="37"/>
        <v>283.97435897435901</v>
      </c>
      <c r="P610">
        <f t="shared" si="38"/>
        <v>35.047468354430379</v>
      </c>
      <c r="Q610" t="s">
        <v>2033</v>
      </c>
      <c r="R610" t="s">
        <v>2056</v>
      </c>
      <c r="S610" s="10">
        <f t="shared" si="40"/>
        <v>27365.125</v>
      </c>
      <c r="T610" s="12">
        <f t="shared" si="39"/>
        <v>27365.525000000001</v>
      </c>
    </row>
    <row r="611" spans="1:20" x14ac:dyDescent="0.35">
      <c r="A611">
        <v>609</v>
      </c>
      <c r="B611" s="4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6">
        <f t="shared" si="37"/>
        <v>120.41999999999999</v>
      </c>
      <c r="P611">
        <f t="shared" si="38"/>
        <v>102.92307692307692</v>
      </c>
      <c r="Q611" t="s">
        <v>2039</v>
      </c>
      <c r="R611" t="s">
        <v>2061</v>
      </c>
      <c r="S611" s="10">
        <f t="shared" si="40"/>
        <v>27360.224999999999</v>
      </c>
      <c r="T611" s="12">
        <f t="shared" si="39"/>
        <v>27361.924999999999</v>
      </c>
    </row>
    <row r="612" spans="1:20" ht="31" x14ac:dyDescent="0.35">
      <c r="A612">
        <v>610</v>
      </c>
      <c r="B612" s="4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6">
        <f t="shared" si="37"/>
        <v>419.0560747663551</v>
      </c>
      <c r="P612">
        <f t="shared" si="38"/>
        <v>27.998126756166094</v>
      </c>
      <c r="Q612" t="s">
        <v>2037</v>
      </c>
      <c r="R612" t="s">
        <v>2038</v>
      </c>
      <c r="S612" s="10">
        <f t="shared" si="40"/>
        <v>27138.025000000001</v>
      </c>
      <c r="T612" s="12">
        <f t="shared" si="39"/>
        <v>27139.424999999999</v>
      </c>
    </row>
    <row r="613" spans="1:20" x14ac:dyDescent="0.35">
      <c r="A613">
        <v>611</v>
      </c>
      <c r="B613" s="4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6">
        <f t="shared" si="37"/>
        <v>13.853658536585368</v>
      </c>
      <c r="P613">
        <f t="shared" si="38"/>
        <v>75.733333333333334</v>
      </c>
      <c r="Q613" t="s">
        <v>2037</v>
      </c>
      <c r="R613" t="s">
        <v>2038</v>
      </c>
      <c r="S613" s="10">
        <f t="shared" si="40"/>
        <v>27160.120833333334</v>
      </c>
      <c r="T613" s="12">
        <f t="shared" si="39"/>
        <v>27161.320833333335</v>
      </c>
    </row>
    <row r="614" spans="1:20" x14ac:dyDescent="0.35">
      <c r="A614">
        <v>612</v>
      </c>
      <c r="B614" s="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6">
        <f t="shared" si="37"/>
        <v>139.43548387096774</v>
      </c>
      <c r="P614">
        <f t="shared" si="38"/>
        <v>45.026041666666664</v>
      </c>
      <c r="Q614" t="s">
        <v>2033</v>
      </c>
      <c r="R614" t="s">
        <v>2041</v>
      </c>
      <c r="S614" s="10">
        <f t="shared" si="40"/>
        <v>27059.520833333332</v>
      </c>
      <c r="T614" s="12">
        <f t="shared" si="39"/>
        <v>27061.825000000001</v>
      </c>
    </row>
    <row r="615" spans="1:20" x14ac:dyDescent="0.35">
      <c r="A615">
        <v>613</v>
      </c>
      <c r="B615" s="4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6">
        <f t="shared" si="37"/>
        <v>174</v>
      </c>
      <c r="P615">
        <f t="shared" si="38"/>
        <v>73.615384615384613</v>
      </c>
      <c r="Q615" t="s">
        <v>2037</v>
      </c>
      <c r="R615" t="s">
        <v>2038</v>
      </c>
      <c r="S615" s="10">
        <f t="shared" si="40"/>
        <v>27309.420833333334</v>
      </c>
      <c r="T615" s="12">
        <f t="shared" si="39"/>
        <v>27310.320833333335</v>
      </c>
    </row>
    <row r="616" spans="1:20" ht="31" x14ac:dyDescent="0.35">
      <c r="A616">
        <v>614</v>
      </c>
      <c r="B616" s="4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6">
        <f t="shared" si="37"/>
        <v>155.49056603773585</v>
      </c>
      <c r="P616">
        <f t="shared" si="38"/>
        <v>56.991701244813278</v>
      </c>
      <c r="Q616" t="s">
        <v>2037</v>
      </c>
      <c r="R616" t="s">
        <v>2038</v>
      </c>
      <c r="S616" s="10">
        <f t="shared" si="40"/>
        <v>27286.724999999999</v>
      </c>
      <c r="T616" s="12">
        <f t="shared" si="39"/>
        <v>27288.525000000001</v>
      </c>
    </row>
    <row r="617" spans="1:20" x14ac:dyDescent="0.35">
      <c r="A617">
        <v>615</v>
      </c>
      <c r="B617" s="4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6">
        <f t="shared" si="37"/>
        <v>170.44705882352943</v>
      </c>
      <c r="P617">
        <f t="shared" si="38"/>
        <v>85.223529411764702</v>
      </c>
      <c r="Q617" t="s">
        <v>2037</v>
      </c>
      <c r="R617" t="s">
        <v>2038</v>
      </c>
      <c r="S617" s="10">
        <f t="shared" si="40"/>
        <v>27261.020833333332</v>
      </c>
      <c r="T617" s="12">
        <f t="shared" si="39"/>
        <v>27262.020833333332</v>
      </c>
    </row>
    <row r="618" spans="1:20" x14ac:dyDescent="0.35">
      <c r="A618">
        <v>616</v>
      </c>
      <c r="B618" s="4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6">
        <f t="shared" si="37"/>
        <v>189.515625</v>
      </c>
      <c r="P618">
        <f t="shared" si="38"/>
        <v>50.962184873949582</v>
      </c>
      <c r="Q618" t="s">
        <v>2033</v>
      </c>
      <c r="R618" t="s">
        <v>2043</v>
      </c>
      <c r="S618" s="10">
        <f t="shared" si="40"/>
        <v>27165.820833333335</v>
      </c>
      <c r="T618" s="12">
        <f t="shared" si="39"/>
        <v>27165.920833333334</v>
      </c>
    </row>
    <row r="619" spans="1:20" x14ac:dyDescent="0.35">
      <c r="A619">
        <v>617</v>
      </c>
      <c r="B619" s="4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6">
        <f t="shared" si="37"/>
        <v>249.71428571428572</v>
      </c>
      <c r="P619">
        <f t="shared" si="38"/>
        <v>63.563636363636363</v>
      </c>
      <c r="Q619" t="s">
        <v>2037</v>
      </c>
      <c r="R619" t="s">
        <v>2038</v>
      </c>
      <c r="S619" s="10">
        <f t="shared" si="40"/>
        <v>27191.520833333332</v>
      </c>
      <c r="T619" s="12">
        <f t="shared" si="39"/>
        <v>27192.520833333332</v>
      </c>
    </row>
    <row r="620" spans="1:20" x14ac:dyDescent="0.35">
      <c r="A620">
        <v>618</v>
      </c>
      <c r="B620" s="4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6">
        <f t="shared" si="37"/>
        <v>48.860523665659613</v>
      </c>
      <c r="P620">
        <f t="shared" si="38"/>
        <v>80.999165275459092</v>
      </c>
      <c r="Q620" t="s">
        <v>2045</v>
      </c>
      <c r="R620" t="s">
        <v>2046</v>
      </c>
      <c r="S620" s="10">
        <f t="shared" si="40"/>
        <v>27151.720833333333</v>
      </c>
      <c r="T620" s="12">
        <f t="shared" si="39"/>
        <v>27153.820833333335</v>
      </c>
    </row>
    <row r="621" spans="1:20" x14ac:dyDescent="0.35">
      <c r="A621">
        <v>619</v>
      </c>
      <c r="B621" s="4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6">
        <f t="shared" si="37"/>
        <v>28.461970393057683</v>
      </c>
      <c r="P621">
        <f t="shared" si="38"/>
        <v>86.044753086419746</v>
      </c>
      <c r="Q621" t="s">
        <v>2037</v>
      </c>
      <c r="R621" t="s">
        <v>2038</v>
      </c>
      <c r="S621" s="10">
        <f t="shared" si="40"/>
        <v>27079.020833333332</v>
      </c>
      <c r="T621" s="12">
        <f t="shared" si="39"/>
        <v>27079.120833333334</v>
      </c>
    </row>
    <row r="622" spans="1:20" x14ac:dyDescent="0.35">
      <c r="A622">
        <v>620</v>
      </c>
      <c r="B622" s="4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6">
        <f t="shared" si="37"/>
        <v>268.02325581395348</v>
      </c>
      <c r="P622">
        <f t="shared" si="38"/>
        <v>90.0390625</v>
      </c>
      <c r="Q622" t="s">
        <v>2052</v>
      </c>
      <c r="R622" t="s">
        <v>2053</v>
      </c>
      <c r="S622" s="10">
        <f t="shared" si="40"/>
        <v>27268.020833333332</v>
      </c>
      <c r="T622" s="12">
        <f t="shared" si="39"/>
        <v>27268.420833333334</v>
      </c>
    </row>
    <row r="623" spans="1:20" x14ac:dyDescent="0.35">
      <c r="A623">
        <v>621</v>
      </c>
      <c r="B623" s="4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6">
        <f t="shared" si="37"/>
        <v>619.80078125</v>
      </c>
      <c r="P623">
        <f t="shared" si="38"/>
        <v>74.006063432835816</v>
      </c>
      <c r="Q623" t="s">
        <v>2037</v>
      </c>
      <c r="R623" t="s">
        <v>2038</v>
      </c>
      <c r="S623" s="10">
        <f t="shared" si="40"/>
        <v>27274.720833333333</v>
      </c>
      <c r="T623" s="12">
        <f t="shared" si="39"/>
        <v>27275.220833333333</v>
      </c>
    </row>
    <row r="624" spans="1:20" x14ac:dyDescent="0.35">
      <c r="A624">
        <v>622</v>
      </c>
      <c r="B624" s="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6">
        <f t="shared" si="37"/>
        <v>3.1301587301587301</v>
      </c>
      <c r="P624">
        <f t="shared" si="38"/>
        <v>92.4375</v>
      </c>
      <c r="Q624" t="s">
        <v>2033</v>
      </c>
      <c r="R624" t="s">
        <v>2043</v>
      </c>
      <c r="S624" s="10">
        <f t="shared" si="40"/>
        <v>27332.620833333334</v>
      </c>
      <c r="T624" s="12">
        <f t="shared" si="39"/>
        <v>27335.220833333333</v>
      </c>
    </row>
    <row r="625" spans="1:20" x14ac:dyDescent="0.35">
      <c r="A625">
        <v>623</v>
      </c>
      <c r="B625" s="4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6">
        <f t="shared" si="37"/>
        <v>159.92152704135739</v>
      </c>
      <c r="P625">
        <f t="shared" si="38"/>
        <v>55.999257333828446</v>
      </c>
      <c r="Q625" t="s">
        <v>2037</v>
      </c>
      <c r="R625" t="s">
        <v>2038</v>
      </c>
      <c r="S625" s="10">
        <f t="shared" si="40"/>
        <v>27232.220833333333</v>
      </c>
      <c r="T625" s="12">
        <f t="shared" si="39"/>
        <v>27232.720833333333</v>
      </c>
    </row>
    <row r="626" spans="1:20" x14ac:dyDescent="0.35">
      <c r="A626">
        <v>624</v>
      </c>
      <c r="B626" s="4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6">
        <f t="shared" si="37"/>
        <v>279.39215686274508</v>
      </c>
      <c r="P626">
        <f t="shared" si="38"/>
        <v>32.983796296296298</v>
      </c>
      <c r="Q626" t="s">
        <v>2052</v>
      </c>
      <c r="R626" t="s">
        <v>2053</v>
      </c>
      <c r="S626" s="10">
        <f t="shared" si="40"/>
        <v>27215.025000000001</v>
      </c>
      <c r="T626" s="12">
        <f t="shared" si="39"/>
        <v>27215.625</v>
      </c>
    </row>
    <row r="627" spans="1:20" ht="31" x14ac:dyDescent="0.35">
      <c r="A627">
        <v>625</v>
      </c>
      <c r="B627" s="4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6">
        <f t="shared" si="37"/>
        <v>77.373333333333335</v>
      </c>
      <c r="P627">
        <f t="shared" si="38"/>
        <v>93.596774193548384</v>
      </c>
      <c r="Q627" t="s">
        <v>2037</v>
      </c>
      <c r="R627" t="s">
        <v>2038</v>
      </c>
      <c r="S627" s="10">
        <f t="shared" si="40"/>
        <v>27397.825000000001</v>
      </c>
      <c r="T627" s="12">
        <f t="shared" si="39"/>
        <v>27399.224999999999</v>
      </c>
    </row>
    <row r="628" spans="1:20" ht="31" x14ac:dyDescent="0.35">
      <c r="A628">
        <v>626</v>
      </c>
      <c r="B628" s="4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6">
        <f t="shared" si="37"/>
        <v>206.32812500000003</v>
      </c>
      <c r="P628">
        <f t="shared" si="38"/>
        <v>69.867724867724874</v>
      </c>
      <c r="Q628" t="s">
        <v>2037</v>
      </c>
      <c r="R628" t="s">
        <v>2038</v>
      </c>
      <c r="S628" s="10">
        <f t="shared" si="40"/>
        <v>27057.020833333332</v>
      </c>
      <c r="T628" s="12">
        <f t="shared" si="39"/>
        <v>27057.920833333334</v>
      </c>
    </row>
    <row r="629" spans="1:20" x14ac:dyDescent="0.35">
      <c r="A629">
        <v>627</v>
      </c>
      <c r="B629" s="4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6">
        <f t="shared" si="37"/>
        <v>694.25</v>
      </c>
      <c r="P629">
        <f t="shared" si="38"/>
        <v>72.129870129870127</v>
      </c>
      <c r="Q629" t="s">
        <v>2031</v>
      </c>
      <c r="R629" t="s">
        <v>2032</v>
      </c>
      <c r="S629" s="10">
        <f t="shared" si="40"/>
        <v>27046.620833333334</v>
      </c>
      <c r="T629" s="12">
        <f t="shared" si="39"/>
        <v>27049.020833333332</v>
      </c>
    </row>
    <row r="630" spans="1:20" x14ac:dyDescent="0.35">
      <c r="A630">
        <v>628</v>
      </c>
      <c r="B630" s="4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6">
        <f t="shared" si="37"/>
        <v>151.78947368421052</v>
      </c>
      <c r="P630">
        <f t="shared" si="38"/>
        <v>30.041666666666668</v>
      </c>
      <c r="Q630" t="s">
        <v>2033</v>
      </c>
      <c r="R630" t="s">
        <v>2043</v>
      </c>
      <c r="S630" s="10">
        <f t="shared" si="40"/>
        <v>27057.620833333334</v>
      </c>
      <c r="T630" s="12">
        <f t="shared" si="39"/>
        <v>27057.920833333334</v>
      </c>
    </row>
    <row r="631" spans="1:20" x14ac:dyDescent="0.35">
      <c r="A631">
        <v>629</v>
      </c>
      <c r="B631" s="4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6">
        <f t="shared" si="37"/>
        <v>64.58207217694995</v>
      </c>
      <c r="P631">
        <f t="shared" si="38"/>
        <v>73.968000000000004</v>
      </c>
      <c r="Q631" t="s">
        <v>2037</v>
      </c>
      <c r="R631" t="s">
        <v>2038</v>
      </c>
      <c r="S631" s="10">
        <f t="shared" si="40"/>
        <v>27267.820833333335</v>
      </c>
      <c r="T631" s="12">
        <f t="shared" si="39"/>
        <v>27268.020833333332</v>
      </c>
    </row>
    <row r="632" spans="1:20" x14ac:dyDescent="0.35">
      <c r="A632">
        <v>630</v>
      </c>
      <c r="B632" s="4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6">
        <f t="shared" si="37"/>
        <v>62.873684210526314</v>
      </c>
      <c r="P632">
        <f t="shared" si="38"/>
        <v>68.65517241379311</v>
      </c>
      <c r="Q632" t="s">
        <v>2037</v>
      </c>
      <c r="R632" t="s">
        <v>2038</v>
      </c>
      <c r="S632" s="10">
        <f t="shared" si="40"/>
        <v>27370.720833333333</v>
      </c>
      <c r="T632" s="12">
        <f t="shared" si="39"/>
        <v>27371.820833333335</v>
      </c>
    </row>
    <row r="633" spans="1:20" x14ac:dyDescent="0.35">
      <c r="A633">
        <v>631</v>
      </c>
      <c r="B633" s="4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6">
        <f t="shared" si="37"/>
        <v>310.39864864864865</v>
      </c>
      <c r="P633">
        <f t="shared" si="38"/>
        <v>59.992164544564154</v>
      </c>
      <c r="Q633" t="s">
        <v>2037</v>
      </c>
      <c r="R633" t="s">
        <v>2038</v>
      </c>
      <c r="S633" s="10">
        <f t="shared" si="40"/>
        <v>27367.120833333334</v>
      </c>
      <c r="T633" s="12">
        <f t="shared" si="39"/>
        <v>27367.520833333332</v>
      </c>
    </row>
    <row r="634" spans="1:20" x14ac:dyDescent="0.35">
      <c r="A634">
        <v>632</v>
      </c>
      <c r="B634" s="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6">
        <f t="shared" si="37"/>
        <v>42.859916782246884</v>
      </c>
      <c r="P634">
        <f t="shared" si="38"/>
        <v>111.15827338129496</v>
      </c>
      <c r="Q634" t="s">
        <v>2037</v>
      </c>
      <c r="R634" t="s">
        <v>2038</v>
      </c>
      <c r="S634" s="10">
        <f t="shared" si="40"/>
        <v>27206.620833333334</v>
      </c>
      <c r="T634" s="12">
        <f t="shared" si="39"/>
        <v>27208.424999999999</v>
      </c>
    </row>
    <row r="635" spans="1:20" x14ac:dyDescent="0.35">
      <c r="A635">
        <v>633</v>
      </c>
      <c r="B635" s="4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6">
        <f t="shared" si="37"/>
        <v>83.119402985074629</v>
      </c>
      <c r="P635">
        <f t="shared" si="38"/>
        <v>53.038095238095238</v>
      </c>
      <c r="Q635" t="s">
        <v>2039</v>
      </c>
      <c r="R635" t="s">
        <v>2047</v>
      </c>
      <c r="S635" s="10">
        <f t="shared" si="40"/>
        <v>27243.625</v>
      </c>
      <c r="T635" s="12">
        <f t="shared" si="39"/>
        <v>27244.025000000001</v>
      </c>
    </row>
    <row r="636" spans="1:20" x14ac:dyDescent="0.35">
      <c r="A636">
        <v>634</v>
      </c>
      <c r="B636" s="4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6">
        <f t="shared" si="37"/>
        <v>78.531302876480552</v>
      </c>
      <c r="P636">
        <f t="shared" si="38"/>
        <v>55.985524728588658</v>
      </c>
      <c r="Q636" t="s">
        <v>2039</v>
      </c>
      <c r="R636" t="s">
        <v>2058</v>
      </c>
      <c r="S636" s="10">
        <f t="shared" si="40"/>
        <v>27294.020833333332</v>
      </c>
      <c r="T636" s="12">
        <f t="shared" si="39"/>
        <v>27295.420833333334</v>
      </c>
    </row>
    <row r="637" spans="1:20" x14ac:dyDescent="0.35">
      <c r="A637">
        <v>635</v>
      </c>
      <c r="B637" s="4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6">
        <f t="shared" si="37"/>
        <v>114.09352517985612</v>
      </c>
      <c r="P637">
        <f t="shared" si="38"/>
        <v>69.986760812003524</v>
      </c>
      <c r="Q637" t="s">
        <v>2039</v>
      </c>
      <c r="R637" t="s">
        <v>2058</v>
      </c>
      <c r="S637" s="10">
        <f t="shared" si="40"/>
        <v>27143.525000000001</v>
      </c>
      <c r="T637" s="12">
        <f t="shared" si="39"/>
        <v>27146.720833333333</v>
      </c>
    </row>
    <row r="638" spans="1:20" x14ac:dyDescent="0.35">
      <c r="A638">
        <v>636</v>
      </c>
      <c r="B638" s="4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6">
        <f t="shared" si="37"/>
        <v>64.537683358624179</v>
      </c>
      <c r="P638">
        <f t="shared" si="38"/>
        <v>48.998079877112133</v>
      </c>
      <c r="Q638" t="s">
        <v>2039</v>
      </c>
      <c r="R638" t="s">
        <v>2047</v>
      </c>
      <c r="S638" s="10">
        <f t="shared" si="40"/>
        <v>27104.724999999999</v>
      </c>
      <c r="T638" s="12">
        <f t="shared" si="39"/>
        <v>27109.224999999999</v>
      </c>
    </row>
    <row r="639" spans="1:20" x14ac:dyDescent="0.35">
      <c r="A639">
        <v>637</v>
      </c>
      <c r="B639" s="4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6">
        <f t="shared" si="37"/>
        <v>79.411764705882348</v>
      </c>
      <c r="P639">
        <f t="shared" si="38"/>
        <v>103.84615384615384</v>
      </c>
      <c r="Q639" t="s">
        <v>2037</v>
      </c>
      <c r="R639" t="s">
        <v>2038</v>
      </c>
      <c r="S639" s="10">
        <f t="shared" si="40"/>
        <v>27280.924999999999</v>
      </c>
      <c r="T639" s="12">
        <f t="shared" si="39"/>
        <v>27281.724999999999</v>
      </c>
    </row>
    <row r="640" spans="1:20" x14ac:dyDescent="0.35">
      <c r="A640">
        <v>638</v>
      </c>
      <c r="B640" s="4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6">
        <f t="shared" si="37"/>
        <v>11.419117647058824</v>
      </c>
      <c r="P640">
        <f t="shared" si="38"/>
        <v>99.127659574468083</v>
      </c>
      <c r="Q640" t="s">
        <v>2037</v>
      </c>
      <c r="R640" t="s">
        <v>2038</v>
      </c>
      <c r="S640" s="10">
        <f t="shared" si="40"/>
        <v>27050.720833333333</v>
      </c>
      <c r="T640" s="12">
        <f t="shared" si="39"/>
        <v>27051.920833333334</v>
      </c>
    </row>
    <row r="641" spans="1:20" x14ac:dyDescent="0.35">
      <c r="A641">
        <v>639</v>
      </c>
      <c r="B641" s="4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6">
        <f t="shared" si="37"/>
        <v>56.186046511627907</v>
      </c>
      <c r="P641">
        <f t="shared" si="38"/>
        <v>107.37777777777778</v>
      </c>
      <c r="Q641" t="s">
        <v>2039</v>
      </c>
      <c r="R641" t="s">
        <v>2042</v>
      </c>
      <c r="S641" s="10">
        <f t="shared" si="40"/>
        <v>27343.020833333332</v>
      </c>
      <c r="T641" s="12">
        <f t="shared" si="39"/>
        <v>27343.020833333332</v>
      </c>
    </row>
    <row r="642" spans="1:20" x14ac:dyDescent="0.35">
      <c r="A642">
        <v>640</v>
      </c>
      <c r="B642" s="4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6">
        <f t="shared" si="37"/>
        <v>16.501669449081803</v>
      </c>
      <c r="P642">
        <f t="shared" si="38"/>
        <v>76.922178988326849</v>
      </c>
      <c r="Q642" t="s">
        <v>2037</v>
      </c>
      <c r="R642" t="s">
        <v>2038</v>
      </c>
      <c r="S642" s="10">
        <f t="shared" si="40"/>
        <v>27250.825000000001</v>
      </c>
      <c r="T642" s="12">
        <f t="shared" si="39"/>
        <v>27251.125</v>
      </c>
    </row>
    <row r="643" spans="1:20" ht="31" x14ac:dyDescent="0.35">
      <c r="A643">
        <v>641</v>
      </c>
      <c r="B643" s="4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6">
        <f t="shared" ref="O643:O706" si="41">MAX(0,(E643/D643)*100)</f>
        <v>119.96808510638297</v>
      </c>
      <c r="P643">
        <f t="shared" ref="P643:P706" si="42">IFERROR(AVERAGE(E643/G643),0)</f>
        <v>58.128865979381445</v>
      </c>
      <c r="Q643" t="s">
        <v>2037</v>
      </c>
      <c r="R643" t="s">
        <v>2038</v>
      </c>
      <c r="S643" s="10">
        <f t="shared" si="40"/>
        <v>27290.724999999999</v>
      </c>
      <c r="T643" s="12">
        <f t="shared" ref="T643:T706" si="43">K643/864000+DATE(1970,1,1)</f>
        <v>27293.520833333332</v>
      </c>
    </row>
    <row r="644" spans="1:20" x14ac:dyDescent="0.35">
      <c r="A644">
        <v>642</v>
      </c>
      <c r="B644" s="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6">
        <f t="shared" si="41"/>
        <v>145.45652173913044</v>
      </c>
      <c r="P644">
        <f t="shared" si="42"/>
        <v>103.73643410852713</v>
      </c>
      <c r="Q644" t="s">
        <v>2035</v>
      </c>
      <c r="R644" t="s">
        <v>2044</v>
      </c>
      <c r="S644" s="10">
        <f t="shared" si="40"/>
        <v>27357.224999999999</v>
      </c>
      <c r="T644" s="12">
        <f t="shared" si="43"/>
        <v>27358.125</v>
      </c>
    </row>
    <row r="645" spans="1:20" x14ac:dyDescent="0.35">
      <c r="A645">
        <v>643</v>
      </c>
      <c r="B645" s="4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6">
        <f t="shared" si="41"/>
        <v>221.38255033557047</v>
      </c>
      <c r="P645">
        <f t="shared" si="42"/>
        <v>87.962666666666664</v>
      </c>
      <c r="Q645" t="s">
        <v>2037</v>
      </c>
      <c r="R645" t="s">
        <v>2038</v>
      </c>
      <c r="S645" s="10">
        <f t="shared" si="40"/>
        <v>27291.625</v>
      </c>
      <c r="T645" s="12">
        <f t="shared" si="43"/>
        <v>27293.420833333334</v>
      </c>
    </row>
    <row r="646" spans="1:20" x14ac:dyDescent="0.35">
      <c r="A646">
        <v>644</v>
      </c>
      <c r="B646" s="4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6">
        <f t="shared" si="41"/>
        <v>48.396694214876035</v>
      </c>
      <c r="P646">
        <f t="shared" si="42"/>
        <v>28</v>
      </c>
      <c r="Q646" t="s">
        <v>2037</v>
      </c>
      <c r="R646" t="s">
        <v>2038</v>
      </c>
      <c r="S646" s="10">
        <f t="shared" si="40"/>
        <v>27357.325000000001</v>
      </c>
      <c r="T646" s="12">
        <f t="shared" si="43"/>
        <v>27358.924999999999</v>
      </c>
    </row>
    <row r="647" spans="1:20" x14ac:dyDescent="0.35">
      <c r="A647">
        <v>645</v>
      </c>
      <c r="B647" s="4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6">
        <f t="shared" si="41"/>
        <v>92.911504424778755</v>
      </c>
      <c r="P647">
        <f t="shared" si="42"/>
        <v>37.999361294443261</v>
      </c>
      <c r="Q647" t="s">
        <v>2033</v>
      </c>
      <c r="R647" t="s">
        <v>2034</v>
      </c>
      <c r="S647" s="10">
        <f t="shared" si="40"/>
        <v>27349.020833333332</v>
      </c>
      <c r="T647" s="12">
        <f t="shared" si="43"/>
        <v>27351.120833333334</v>
      </c>
    </row>
    <row r="648" spans="1:20" x14ac:dyDescent="0.35">
      <c r="A648">
        <v>646</v>
      </c>
      <c r="B648" s="4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6">
        <f t="shared" si="41"/>
        <v>88.599797365754824</v>
      </c>
      <c r="P648">
        <f t="shared" si="42"/>
        <v>29.999313893653515</v>
      </c>
      <c r="Q648" t="s">
        <v>2048</v>
      </c>
      <c r="R648" t="s">
        <v>2049</v>
      </c>
      <c r="S648" s="10">
        <f t="shared" si="40"/>
        <v>27146.720833333333</v>
      </c>
      <c r="T648" s="12">
        <f t="shared" si="43"/>
        <v>27147.820833333335</v>
      </c>
    </row>
    <row r="649" spans="1:20" x14ac:dyDescent="0.35">
      <c r="A649">
        <v>647</v>
      </c>
      <c r="B649" s="4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6">
        <f t="shared" si="41"/>
        <v>41.4</v>
      </c>
      <c r="P649">
        <f t="shared" si="42"/>
        <v>103.5</v>
      </c>
      <c r="Q649" t="s">
        <v>2045</v>
      </c>
      <c r="R649" t="s">
        <v>2057</v>
      </c>
      <c r="S649" s="10">
        <f t="shared" si="40"/>
        <v>27332.020833333332</v>
      </c>
      <c r="T649" s="12">
        <f t="shared" si="43"/>
        <v>27334.420833333334</v>
      </c>
    </row>
    <row r="650" spans="1:20" x14ac:dyDescent="0.35">
      <c r="A650">
        <v>648</v>
      </c>
      <c r="B650" s="4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6">
        <f t="shared" si="41"/>
        <v>63.056795131845846</v>
      </c>
      <c r="P650">
        <f t="shared" si="42"/>
        <v>85.994467496542185</v>
      </c>
      <c r="Q650" t="s">
        <v>2031</v>
      </c>
      <c r="R650" t="s">
        <v>2032</v>
      </c>
      <c r="S650" s="10">
        <f t="shared" si="40"/>
        <v>27304.320833333335</v>
      </c>
      <c r="T650" s="12">
        <f t="shared" si="43"/>
        <v>27306.120833333334</v>
      </c>
    </row>
    <row r="651" spans="1:20" x14ac:dyDescent="0.35">
      <c r="A651">
        <v>649</v>
      </c>
      <c r="B651" s="4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6">
        <f t="shared" si="41"/>
        <v>48.482333607230892</v>
      </c>
      <c r="P651">
        <f t="shared" si="42"/>
        <v>98.011627906976742</v>
      </c>
      <c r="Q651" t="s">
        <v>2037</v>
      </c>
      <c r="R651" t="s">
        <v>2038</v>
      </c>
      <c r="S651" s="10">
        <f t="shared" si="40"/>
        <v>27059.220833333333</v>
      </c>
      <c r="T651" s="12">
        <f t="shared" si="43"/>
        <v>27060.320833333335</v>
      </c>
    </row>
    <row r="652" spans="1:20" x14ac:dyDescent="0.35">
      <c r="A652">
        <v>650</v>
      </c>
      <c r="B652" s="4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6">
        <f t="shared" si="41"/>
        <v>2</v>
      </c>
      <c r="P652">
        <f t="shared" si="42"/>
        <v>2</v>
      </c>
      <c r="Q652" t="s">
        <v>2033</v>
      </c>
      <c r="R652" t="s">
        <v>2056</v>
      </c>
      <c r="S652" s="10">
        <f t="shared" si="40"/>
        <v>27194.920833333334</v>
      </c>
      <c r="T652" s="12">
        <f t="shared" si="43"/>
        <v>27197.620833333334</v>
      </c>
    </row>
    <row r="653" spans="1:20" x14ac:dyDescent="0.35">
      <c r="A653">
        <v>651</v>
      </c>
      <c r="B653" s="4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6">
        <f t="shared" si="41"/>
        <v>88.47941026944585</v>
      </c>
      <c r="P653">
        <f t="shared" si="42"/>
        <v>44.994570837642193</v>
      </c>
      <c r="Q653" t="s">
        <v>2039</v>
      </c>
      <c r="R653" t="s">
        <v>2050</v>
      </c>
      <c r="S653" s="10">
        <f t="shared" ref="S653:S716" si="44">J:J/864000+DATE(1970,1,1)</f>
        <v>27181.325000000001</v>
      </c>
      <c r="T653" s="12">
        <f t="shared" si="43"/>
        <v>27182.825000000001</v>
      </c>
    </row>
    <row r="654" spans="1:20" x14ac:dyDescent="0.35">
      <c r="A654">
        <v>652</v>
      </c>
      <c r="B654" s="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6">
        <f t="shared" si="41"/>
        <v>126.84</v>
      </c>
      <c r="P654">
        <f t="shared" si="42"/>
        <v>31.012224938875306</v>
      </c>
      <c r="Q654" t="s">
        <v>2035</v>
      </c>
      <c r="R654" t="s">
        <v>2036</v>
      </c>
      <c r="S654" s="10">
        <f t="shared" si="44"/>
        <v>27270.820833333335</v>
      </c>
      <c r="T654" s="12">
        <f t="shared" si="43"/>
        <v>27275.120833333334</v>
      </c>
    </row>
    <row r="655" spans="1:20" x14ac:dyDescent="0.35">
      <c r="A655">
        <v>653</v>
      </c>
      <c r="B655" s="4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6">
        <f t="shared" si="41"/>
        <v>2338.833333333333</v>
      </c>
      <c r="P655">
        <f t="shared" si="42"/>
        <v>59.970085470085472</v>
      </c>
      <c r="Q655" t="s">
        <v>2035</v>
      </c>
      <c r="R655" t="s">
        <v>2036</v>
      </c>
      <c r="S655" s="10">
        <f t="shared" si="44"/>
        <v>27258.920833333334</v>
      </c>
      <c r="T655" s="12">
        <f t="shared" si="43"/>
        <v>27259.120833333334</v>
      </c>
    </row>
    <row r="656" spans="1:20" x14ac:dyDescent="0.35">
      <c r="A656">
        <v>654</v>
      </c>
      <c r="B656" s="4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6">
        <f t="shared" si="41"/>
        <v>508.38857142857148</v>
      </c>
      <c r="P656">
        <f t="shared" si="42"/>
        <v>58.9973474801061</v>
      </c>
      <c r="Q656" t="s">
        <v>2033</v>
      </c>
      <c r="R656" t="s">
        <v>2055</v>
      </c>
      <c r="S656" s="10">
        <f t="shared" si="44"/>
        <v>27236.120833333334</v>
      </c>
      <c r="T656" s="12">
        <f t="shared" si="43"/>
        <v>27236.620833333334</v>
      </c>
    </row>
    <row r="657" spans="1:20" x14ac:dyDescent="0.35">
      <c r="A657">
        <v>655</v>
      </c>
      <c r="B657" s="4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6">
        <f t="shared" si="41"/>
        <v>191.47826086956522</v>
      </c>
      <c r="P657">
        <f t="shared" si="42"/>
        <v>50.045454545454547</v>
      </c>
      <c r="Q657" t="s">
        <v>2052</v>
      </c>
      <c r="R657" t="s">
        <v>2053</v>
      </c>
      <c r="S657" s="10">
        <f t="shared" si="44"/>
        <v>27291.724999999999</v>
      </c>
      <c r="T657" s="12">
        <f t="shared" si="43"/>
        <v>27293.020833333332</v>
      </c>
    </row>
    <row r="658" spans="1:20" ht="31" x14ac:dyDescent="0.35">
      <c r="A658">
        <v>656</v>
      </c>
      <c r="B658" s="4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6">
        <f t="shared" si="41"/>
        <v>42.127533783783782</v>
      </c>
      <c r="P658">
        <f t="shared" si="42"/>
        <v>98.966269841269835</v>
      </c>
      <c r="Q658" t="s">
        <v>2031</v>
      </c>
      <c r="R658" t="s">
        <v>2032</v>
      </c>
      <c r="S658" s="10">
        <f t="shared" si="44"/>
        <v>27321.825000000001</v>
      </c>
      <c r="T658" s="12">
        <f t="shared" si="43"/>
        <v>27322.325000000001</v>
      </c>
    </row>
    <row r="659" spans="1:20" x14ac:dyDescent="0.35">
      <c r="A659">
        <v>657</v>
      </c>
      <c r="B659" s="4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6">
        <f t="shared" si="41"/>
        <v>8.24</v>
      </c>
      <c r="P659">
        <f t="shared" si="42"/>
        <v>58.857142857142854</v>
      </c>
      <c r="Q659" t="s">
        <v>2039</v>
      </c>
      <c r="R659" t="s">
        <v>2061</v>
      </c>
      <c r="S659" s="10">
        <f t="shared" si="44"/>
        <v>27321.724999999999</v>
      </c>
      <c r="T659" s="12">
        <f t="shared" si="43"/>
        <v>27323.325000000001</v>
      </c>
    </row>
    <row r="660" spans="1:20" x14ac:dyDescent="0.35">
      <c r="A660">
        <v>658</v>
      </c>
      <c r="B660" s="4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6">
        <f t="shared" si="41"/>
        <v>60.064638783269963</v>
      </c>
      <c r="P660">
        <f t="shared" si="42"/>
        <v>81.010256410256417</v>
      </c>
      <c r="Q660" t="s">
        <v>2033</v>
      </c>
      <c r="R660" t="s">
        <v>2034</v>
      </c>
      <c r="S660" s="10">
        <f t="shared" si="44"/>
        <v>27236.720833333333</v>
      </c>
      <c r="T660" s="12">
        <f t="shared" si="43"/>
        <v>27239.020833333332</v>
      </c>
    </row>
    <row r="661" spans="1:20" x14ac:dyDescent="0.35">
      <c r="A661">
        <v>659</v>
      </c>
      <c r="B661" s="4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6">
        <f t="shared" si="41"/>
        <v>47.232808616404313</v>
      </c>
      <c r="P661">
        <f t="shared" si="42"/>
        <v>76.013333333333335</v>
      </c>
      <c r="Q661" t="s">
        <v>2039</v>
      </c>
      <c r="R661" t="s">
        <v>2040</v>
      </c>
      <c r="S661" s="10">
        <f t="shared" si="44"/>
        <v>27069.125</v>
      </c>
      <c r="T661" s="12">
        <f t="shared" si="43"/>
        <v>27069.224999999999</v>
      </c>
    </row>
    <row r="662" spans="1:20" x14ac:dyDescent="0.35">
      <c r="A662">
        <v>660</v>
      </c>
      <c r="B662" s="4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6">
        <f t="shared" si="41"/>
        <v>81.736263736263737</v>
      </c>
      <c r="P662">
        <f t="shared" si="42"/>
        <v>96.597402597402592</v>
      </c>
      <c r="Q662" t="s">
        <v>2037</v>
      </c>
      <c r="R662" t="s">
        <v>2038</v>
      </c>
      <c r="S662" s="10">
        <f t="shared" si="44"/>
        <v>27235.820833333335</v>
      </c>
      <c r="T662" s="12">
        <f t="shared" si="43"/>
        <v>27236.720833333333</v>
      </c>
    </row>
    <row r="663" spans="1:20" x14ac:dyDescent="0.35">
      <c r="A663">
        <v>661</v>
      </c>
      <c r="B663" s="4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6">
        <f t="shared" si="41"/>
        <v>54.187265917603</v>
      </c>
      <c r="P663">
        <f t="shared" si="42"/>
        <v>76.957446808510639</v>
      </c>
      <c r="Q663" t="s">
        <v>2033</v>
      </c>
      <c r="R663" t="s">
        <v>2056</v>
      </c>
      <c r="S663" s="10">
        <f t="shared" si="44"/>
        <v>27111.720833333333</v>
      </c>
      <c r="T663" s="12">
        <f t="shared" si="43"/>
        <v>27114.720833333333</v>
      </c>
    </row>
    <row r="664" spans="1:20" x14ac:dyDescent="0.35">
      <c r="A664">
        <v>662</v>
      </c>
      <c r="B664" s="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6">
        <f t="shared" si="41"/>
        <v>97.868131868131869</v>
      </c>
      <c r="P664">
        <f t="shared" si="42"/>
        <v>67.984732824427482</v>
      </c>
      <c r="Q664" t="s">
        <v>2037</v>
      </c>
      <c r="R664" t="s">
        <v>2038</v>
      </c>
      <c r="S664" s="10">
        <f t="shared" si="44"/>
        <v>27356.424999999999</v>
      </c>
      <c r="T664" s="12">
        <f t="shared" si="43"/>
        <v>27356.825000000001</v>
      </c>
    </row>
    <row r="665" spans="1:20" x14ac:dyDescent="0.35">
      <c r="A665">
        <v>663</v>
      </c>
      <c r="B665" s="4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6">
        <f t="shared" si="41"/>
        <v>77.239999999999995</v>
      </c>
      <c r="P665">
        <f t="shared" si="42"/>
        <v>88.781609195402297</v>
      </c>
      <c r="Q665" t="s">
        <v>2037</v>
      </c>
      <c r="R665" t="s">
        <v>2038</v>
      </c>
      <c r="S665" s="10">
        <f t="shared" si="44"/>
        <v>27057.920833333334</v>
      </c>
      <c r="T665" s="12">
        <f t="shared" si="43"/>
        <v>27060.220833333333</v>
      </c>
    </row>
    <row r="666" spans="1:20" x14ac:dyDescent="0.35">
      <c r="A666">
        <v>664</v>
      </c>
      <c r="B666" s="4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6">
        <f t="shared" si="41"/>
        <v>33.464735516372798</v>
      </c>
      <c r="P666">
        <f t="shared" si="42"/>
        <v>24.99623706491063</v>
      </c>
      <c r="Q666" t="s">
        <v>2033</v>
      </c>
      <c r="R666" t="s">
        <v>2056</v>
      </c>
      <c r="S666" s="10">
        <f t="shared" si="44"/>
        <v>27108.025000000001</v>
      </c>
      <c r="T666" s="12">
        <f t="shared" si="43"/>
        <v>27109.025000000001</v>
      </c>
    </row>
    <row r="667" spans="1:20" x14ac:dyDescent="0.35">
      <c r="A667">
        <v>665</v>
      </c>
      <c r="B667" s="4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6">
        <f t="shared" si="41"/>
        <v>239.58823529411765</v>
      </c>
      <c r="P667">
        <f t="shared" si="42"/>
        <v>44.922794117647058</v>
      </c>
      <c r="Q667" t="s">
        <v>2039</v>
      </c>
      <c r="R667" t="s">
        <v>2040</v>
      </c>
      <c r="S667" s="10">
        <f t="shared" si="44"/>
        <v>27085.420833333334</v>
      </c>
      <c r="T667" s="12">
        <f t="shared" si="43"/>
        <v>27086.820833333335</v>
      </c>
    </row>
    <row r="668" spans="1:20" x14ac:dyDescent="0.35">
      <c r="A668">
        <v>666</v>
      </c>
      <c r="B668" s="4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6">
        <f t="shared" si="41"/>
        <v>64.032258064516128</v>
      </c>
      <c r="P668">
        <f t="shared" si="42"/>
        <v>79.400000000000006</v>
      </c>
      <c r="Q668" t="s">
        <v>2037</v>
      </c>
      <c r="R668" t="s">
        <v>2038</v>
      </c>
      <c r="S668" s="10">
        <f t="shared" si="44"/>
        <v>27163.720833333333</v>
      </c>
      <c r="T668" s="12">
        <f t="shared" si="43"/>
        <v>27164.320833333335</v>
      </c>
    </row>
    <row r="669" spans="1:20" ht="31" x14ac:dyDescent="0.35">
      <c r="A669">
        <v>667</v>
      </c>
      <c r="B669" s="4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6">
        <f t="shared" si="41"/>
        <v>176.15942028985506</v>
      </c>
      <c r="P669">
        <f t="shared" si="42"/>
        <v>29.009546539379475</v>
      </c>
      <c r="Q669" t="s">
        <v>2062</v>
      </c>
      <c r="R669" t="s">
        <v>2063</v>
      </c>
      <c r="S669" s="10">
        <f t="shared" si="44"/>
        <v>27201.320833333335</v>
      </c>
      <c r="T669" s="12">
        <f t="shared" si="43"/>
        <v>27202.220833333333</v>
      </c>
    </row>
    <row r="670" spans="1:20" ht="31" x14ac:dyDescent="0.35">
      <c r="A670">
        <v>668</v>
      </c>
      <c r="B670" s="4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6">
        <f t="shared" si="41"/>
        <v>20.33818181818182</v>
      </c>
      <c r="P670">
        <f t="shared" si="42"/>
        <v>73.59210526315789</v>
      </c>
      <c r="Q670" t="s">
        <v>2037</v>
      </c>
      <c r="R670" t="s">
        <v>2038</v>
      </c>
      <c r="S670" s="10">
        <f t="shared" si="44"/>
        <v>27124.320833333335</v>
      </c>
      <c r="T670" s="12">
        <f t="shared" si="43"/>
        <v>27125.520833333332</v>
      </c>
    </row>
    <row r="671" spans="1:20" x14ac:dyDescent="0.35">
      <c r="A671">
        <v>669</v>
      </c>
      <c r="B671" s="4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6">
        <f t="shared" si="41"/>
        <v>358.64754098360658</v>
      </c>
      <c r="P671">
        <f t="shared" si="42"/>
        <v>107.97038864898211</v>
      </c>
      <c r="Q671" t="s">
        <v>2037</v>
      </c>
      <c r="R671" t="s">
        <v>2038</v>
      </c>
      <c r="S671" s="10">
        <f t="shared" si="44"/>
        <v>27303.320833333335</v>
      </c>
      <c r="T671" s="12">
        <f t="shared" si="43"/>
        <v>27304.220833333333</v>
      </c>
    </row>
    <row r="672" spans="1:20" ht="31" x14ac:dyDescent="0.35">
      <c r="A672">
        <v>670</v>
      </c>
      <c r="B672" s="4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6">
        <f t="shared" si="41"/>
        <v>468.85802469135803</v>
      </c>
      <c r="P672">
        <f t="shared" si="42"/>
        <v>68.987284287011803</v>
      </c>
      <c r="Q672" t="s">
        <v>2033</v>
      </c>
      <c r="R672" t="s">
        <v>2043</v>
      </c>
      <c r="S672" s="10">
        <f t="shared" si="44"/>
        <v>27254.625</v>
      </c>
      <c r="T672" s="12">
        <f t="shared" si="43"/>
        <v>27255.825000000001</v>
      </c>
    </row>
    <row r="673" spans="1:20" ht="31" x14ac:dyDescent="0.35">
      <c r="A673">
        <v>671</v>
      </c>
      <c r="B673" s="4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6">
        <f t="shared" si="41"/>
        <v>122.05635245901641</v>
      </c>
      <c r="P673">
        <f t="shared" si="42"/>
        <v>111.02236719478098</v>
      </c>
      <c r="Q673" t="s">
        <v>2037</v>
      </c>
      <c r="R673" t="s">
        <v>2038</v>
      </c>
      <c r="S673" s="10">
        <f t="shared" si="44"/>
        <v>27051.120833333334</v>
      </c>
      <c r="T673" s="12">
        <f t="shared" si="43"/>
        <v>27051.520833333332</v>
      </c>
    </row>
    <row r="674" spans="1:20" x14ac:dyDescent="0.35">
      <c r="A674">
        <v>672</v>
      </c>
      <c r="B674" s="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6">
        <f t="shared" si="41"/>
        <v>55.931783729156137</v>
      </c>
      <c r="P674">
        <f t="shared" si="42"/>
        <v>24.997515808491418</v>
      </c>
      <c r="Q674" t="s">
        <v>2037</v>
      </c>
      <c r="R674" t="s">
        <v>2038</v>
      </c>
      <c r="S674" s="10">
        <f t="shared" si="44"/>
        <v>27330.120833333334</v>
      </c>
      <c r="T674" s="12">
        <f t="shared" si="43"/>
        <v>27331.120833333334</v>
      </c>
    </row>
    <row r="675" spans="1:20" x14ac:dyDescent="0.35">
      <c r="A675">
        <v>673</v>
      </c>
      <c r="B675" s="4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6">
        <f t="shared" si="41"/>
        <v>43.660714285714285</v>
      </c>
      <c r="P675">
        <f t="shared" si="42"/>
        <v>42.155172413793103</v>
      </c>
      <c r="Q675" t="s">
        <v>2033</v>
      </c>
      <c r="R675" t="s">
        <v>2043</v>
      </c>
      <c r="S675" s="10">
        <f t="shared" si="44"/>
        <v>27259.620833333334</v>
      </c>
      <c r="T675" s="12">
        <f t="shared" si="43"/>
        <v>27261.720833333333</v>
      </c>
    </row>
    <row r="676" spans="1:20" x14ac:dyDescent="0.35">
      <c r="A676">
        <v>674</v>
      </c>
      <c r="B676" s="4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6">
        <f t="shared" si="41"/>
        <v>33.53837141183363</v>
      </c>
      <c r="P676">
        <f t="shared" si="42"/>
        <v>47.003284072249592</v>
      </c>
      <c r="Q676" t="s">
        <v>2052</v>
      </c>
      <c r="R676" t="s">
        <v>2053</v>
      </c>
      <c r="S676" s="10">
        <f t="shared" si="44"/>
        <v>27089.520833333332</v>
      </c>
      <c r="T676" s="12">
        <f t="shared" si="43"/>
        <v>27094.220833333333</v>
      </c>
    </row>
    <row r="677" spans="1:20" x14ac:dyDescent="0.35">
      <c r="A677">
        <v>675</v>
      </c>
      <c r="B677" s="4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6">
        <f t="shared" si="41"/>
        <v>122.97938144329896</v>
      </c>
      <c r="P677">
        <f t="shared" si="42"/>
        <v>36.0392749244713</v>
      </c>
      <c r="Q677" t="s">
        <v>2062</v>
      </c>
      <c r="R677" t="s">
        <v>2063</v>
      </c>
      <c r="S677" s="10">
        <f t="shared" si="44"/>
        <v>27384.020833333332</v>
      </c>
      <c r="T677" s="12">
        <f t="shared" si="43"/>
        <v>27384.720833333333</v>
      </c>
    </row>
    <row r="678" spans="1:20" x14ac:dyDescent="0.35">
      <c r="A678">
        <v>676</v>
      </c>
      <c r="B678" s="4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6">
        <f t="shared" si="41"/>
        <v>189.74959871589084</v>
      </c>
      <c r="P678">
        <f t="shared" si="42"/>
        <v>101.03760683760684</v>
      </c>
      <c r="Q678" t="s">
        <v>2052</v>
      </c>
      <c r="R678" t="s">
        <v>2053</v>
      </c>
      <c r="S678" s="10">
        <f t="shared" si="44"/>
        <v>27129.920833333334</v>
      </c>
      <c r="T678" s="12">
        <f t="shared" si="43"/>
        <v>27130.820833333335</v>
      </c>
    </row>
    <row r="679" spans="1:20" x14ac:dyDescent="0.35">
      <c r="A679">
        <v>677</v>
      </c>
      <c r="B679" s="4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6">
        <f t="shared" si="41"/>
        <v>83.622641509433961</v>
      </c>
      <c r="P679">
        <f t="shared" si="42"/>
        <v>39.927927927927925</v>
      </c>
      <c r="Q679" t="s">
        <v>2045</v>
      </c>
      <c r="R679" t="s">
        <v>2051</v>
      </c>
      <c r="S679" s="10">
        <f t="shared" si="44"/>
        <v>27268.220833333333</v>
      </c>
      <c r="T679" s="12">
        <f t="shared" si="43"/>
        <v>27273.220833333333</v>
      </c>
    </row>
    <row r="680" spans="1:20" x14ac:dyDescent="0.35">
      <c r="A680">
        <v>678</v>
      </c>
      <c r="B680" s="4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6">
        <f t="shared" si="41"/>
        <v>17.968844221105527</v>
      </c>
      <c r="P680">
        <f t="shared" si="42"/>
        <v>83.158139534883716</v>
      </c>
      <c r="Q680" t="s">
        <v>2039</v>
      </c>
      <c r="R680" t="s">
        <v>2042</v>
      </c>
      <c r="S680" s="10">
        <f t="shared" si="44"/>
        <v>27360.525000000001</v>
      </c>
      <c r="T680" s="12">
        <f t="shared" si="43"/>
        <v>27360.724999999999</v>
      </c>
    </row>
    <row r="681" spans="1:20" x14ac:dyDescent="0.35">
      <c r="A681">
        <v>679</v>
      </c>
      <c r="B681" s="4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6">
        <f t="shared" si="41"/>
        <v>1036.5</v>
      </c>
      <c r="P681">
        <f t="shared" si="42"/>
        <v>39.97520661157025</v>
      </c>
      <c r="Q681" t="s">
        <v>2031</v>
      </c>
      <c r="R681" t="s">
        <v>2032</v>
      </c>
      <c r="S681" s="10">
        <f t="shared" si="44"/>
        <v>27387.720833333333</v>
      </c>
      <c r="T681" s="12">
        <f t="shared" si="43"/>
        <v>27388.220833333333</v>
      </c>
    </row>
    <row r="682" spans="1:20" ht="31" x14ac:dyDescent="0.35">
      <c r="A682">
        <v>680</v>
      </c>
      <c r="B682" s="4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6">
        <f t="shared" si="41"/>
        <v>97.405219780219781</v>
      </c>
      <c r="P682">
        <f t="shared" si="42"/>
        <v>47.993908629441627</v>
      </c>
      <c r="Q682" t="s">
        <v>2048</v>
      </c>
      <c r="R682" t="s">
        <v>2059</v>
      </c>
      <c r="S682" s="10">
        <f t="shared" si="44"/>
        <v>27393.424999999999</v>
      </c>
      <c r="T682" s="12">
        <f t="shared" si="43"/>
        <v>27393.625</v>
      </c>
    </row>
    <row r="683" spans="1:20" ht="31" x14ac:dyDescent="0.35">
      <c r="A683">
        <v>681</v>
      </c>
      <c r="B683" s="4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6">
        <f t="shared" si="41"/>
        <v>86.386203150461711</v>
      </c>
      <c r="P683">
        <f t="shared" si="42"/>
        <v>95.978877489438744</v>
      </c>
      <c r="Q683" t="s">
        <v>2037</v>
      </c>
      <c r="R683" t="s">
        <v>2038</v>
      </c>
      <c r="S683" s="10">
        <f t="shared" si="44"/>
        <v>27101.924999999999</v>
      </c>
      <c r="T683" s="12">
        <f t="shared" si="43"/>
        <v>27102.525000000001</v>
      </c>
    </row>
    <row r="684" spans="1:20" x14ac:dyDescent="0.35">
      <c r="A684">
        <v>682</v>
      </c>
      <c r="B684" s="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6">
        <f t="shared" si="41"/>
        <v>150.16666666666666</v>
      </c>
      <c r="P684">
        <f t="shared" si="42"/>
        <v>78.728155339805824</v>
      </c>
      <c r="Q684" t="s">
        <v>2037</v>
      </c>
      <c r="R684" t="s">
        <v>2038</v>
      </c>
      <c r="S684" s="10">
        <f t="shared" si="44"/>
        <v>27174.025000000001</v>
      </c>
      <c r="T684" s="12">
        <f t="shared" si="43"/>
        <v>27174.924999999999</v>
      </c>
    </row>
    <row r="685" spans="1:20" x14ac:dyDescent="0.35">
      <c r="A685">
        <v>683</v>
      </c>
      <c r="B685" s="4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6">
        <f t="shared" si="41"/>
        <v>358.43478260869563</v>
      </c>
      <c r="P685">
        <f t="shared" si="42"/>
        <v>56.081632653061227</v>
      </c>
      <c r="Q685" t="s">
        <v>2037</v>
      </c>
      <c r="R685" t="s">
        <v>2038</v>
      </c>
      <c r="S685" s="10">
        <f t="shared" si="44"/>
        <v>27348.020833333332</v>
      </c>
      <c r="T685" s="12">
        <f t="shared" si="43"/>
        <v>27348.220833333333</v>
      </c>
    </row>
    <row r="686" spans="1:20" x14ac:dyDescent="0.35">
      <c r="A686">
        <v>684</v>
      </c>
      <c r="B686" s="4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6">
        <f t="shared" si="41"/>
        <v>542.85714285714289</v>
      </c>
      <c r="P686">
        <f t="shared" si="42"/>
        <v>69.090909090909093</v>
      </c>
      <c r="Q686" t="s">
        <v>2045</v>
      </c>
      <c r="R686" t="s">
        <v>2046</v>
      </c>
      <c r="S686" s="10">
        <f t="shared" si="44"/>
        <v>27047.920833333334</v>
      </c>
      <c r="T686" s="12">
        <f t="shared" si="43"/>
        <v>27049.920833333334</v>
      </c>
    </row>
    <row r="687" spans="1:20" x14ac:dyDescent="0.35">
      <c r="A687">
        <v>685</v>
      </c>
      <c r="B687" s="4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6">
        <f t="shared" si="41"/>
        <v>67.500714285714281</v>
      </c>
      <c r="P687">
        <f t="shared" si="42"/>
        <v>102.05291576673866</v>
      </c>
      <c r="Q687" t="s">
        <v>2037</v>
      </c>
      <c r="R687" t="s">
        <v>2038</v>
      </c>
      <c r="S687" s="10">
        <f t="shared" si="44"/>
        <v>27236.020833333332</v>
      </c>
      <c r="T687" s="12">
        <f t="shared" si="43"/>
        <v>27238.420833333334</v>
      </c>
    </row>
    <row r="688" spans="1:20" x14ac:dyDescent="0.35">
      <c r="A688">
        <v>686</v>
      </c>
      <c r="B688" s="4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6">
        <f t="shared" si="41"/>
        <v>191.74666666666667</v>
      </c>
      <c r="P688">
        <f t="shared" si="42"/>
        <v>107.32089552238806</v>
      </c>
      <c r="Q688" t="s">
        <v>2035</v>
      </c>
      <c r="R688" t="s">
        <v>2044</v>
      </c>
      <c r="S688" s="10">
        <f t="shared" si="44"/>
        <v>27330.720833333333</v>
      </c>
      <c r="T688" s="12">
        <f t="shared" si="43"/>
        <v>27331.820833333335</v>
      </c>
    </row>
    <row r="689" spans="1:20" x14ac:dyDescent="0.35">
      <c r="A689">
        <v>687</v>
      </c>
      <c r="B689" s="4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6">
        <f t="shared" si="41"/>
        <v>932</v>
      </c>
      <c r="P689">
        <f t="shared" si="42"/>
        <v>51.970260223048328</v>
      </c>
      <c r="Q689" t="s">
        <v>2037</v>
      </c>
      <c r="R689" t="s">
        <v>2038</v>
      </c>
      <c r="S689" s="10">
        <f t="shared" si="44"/>
        <v>27292.724999999999</v>
      </c>
      <c r="T689" s="12">
        <f t="shared" si="43"/>
        <v>27293.020833333332</v>
      </c>
    </row>
    <row r="690" spans="1:20" x14ac:dyDescent="0.35">
      <c r="A690">
        <v>688</v>
      </c>
      <c r="B690" s="4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6">
        <f t="shared" si="41"/>
        <v>429.27586206896552</v>
      </c>
      <c r="P690">
        <f t="shared" si="42"/>
        <v>71.137142857142862</v>
      </c>
      <c r="Q690" t="s">
        <v>2039</v>
      </c>
      <c r="R690" t="s">
        <v>2058</v>
      </c>
      <c r="S690" s="10">
        <f t="shared" si="44"/>
        <v>27359.625</v>
      </c>
      <c r="T690" s="12">
        <f t="shared" si="43"/>
        <v>27361.224999999999</v>
      </c>
    </row>
    <row r="691" spans="1:20" x14ac:dyDescent="0.35">
      <c r="A691">
        <v>689</v>
      </c>
      <c r="B691" s="4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6">
        <f t="shared" si="41"/>
        <v>100.65753424657535</v>
      </c>
      <c r="P691">
        <f t="shared" si="42"/>
        <v>106.49275362318841</v>
      </c>
      <c r="Q691" t="s">
        <v>2035</v>
      </c>
      <c r="R691" t="s">
        <v>2036</v>
      </c>
      <c r="S691" s="10">
        <f t="shared" si="44"/>
        <v>27169.720833333333</v>
      </c>
      <c r="T691" s="12">
        <f t="shared" si="43"/>
        <v>27170.924999999999</v>
      </c>
    </row>
    <row r="692" spans="1:20" x14ac:dyDescent="0.35">
      <c r="A692">
        <v>690</v>
      </c>
      <c r="B692" s="4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6">
        <f t="shared" si="41"/>
        <v>226.61111111111109</v>
      </c>
      <c r="P692">
        <f t="shared" si="42"/>
        <v>42.93684210526316</v>
      </c>
      <c r="Q692" t="s">
        <v>2039</v>
      </c>
      <c r="R692" t="s">
        <v>2040</v>
      </c>
      <c r="S692" s="10">
        <f t="shared" si="44"/>
        <v>27099.525000000001</v>
      </c>
      <c r="T692" s="12">
        <f t="shared" si="43"/>
        <v>27100.125</v>
      </c>
    </row>
    <row r="693" spans="1:20" x14ac:dyDescent="0.35">
      <c r="A693">
        <v>691</v>
      </c>
      <c r="B693" s="4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6">
        <f t="shared" si="41"/>
        <v>142.38</v>
      </c>
      <c r="P693">
        <f t="shared" si="42"/>
        <v>30.037974683544302</v>
      </c>
      <c r="Q693" t="s">
        <v>2039</v>
      </c>
      <c r="R693" t="s">
        <v>2040</v>
      </c>
      <c r="S693" s="10">
        <f t="shared" si="44"/>
        <v>27130.620833333334</v>
      </c>
      <c r="T693" s="12">
        <f t="shared" si="43"/>
        <v>27132.320833333335</v>
      </c>
    </row>
    <row r="694" spans="1:20" x14ac:dyDescent="0.35">
      <c r="A694">
        <v>692</v>
      </c>
      <c r="B694" s="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6">
        <f t="shared" si="41"/>
        <v>90.633333333333326</v>
      </c>
      <c r="P694">
        <f t="shared" si="42"/>
        <v>70.623376623376629</v>
      </c>
      <c r="Q694" t="s">
        <v>2033</v>
      </c>
      <c r="R694" t="s">
        <v>2034</v>
      </c>
      <c r="S694" s="10">
        <f t="shared" si="44"/>
        <v>27377.620833333334</v>
      </c>
      <c r="T694" s="12">
        <f t="shared" si="43"/>
        <v>27379.420833333334</v>
      </c>
    </row>
    <row r="695" spans="1:20" ht="31" x14ac:dyDescent="0.35">
      <c r="A695">
        <v>693</v>
      </c>
      <c r="B695" s="4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6">
        <f t="shared" si="41"/>
        <v>63.966740576496676</v>
      </c>
      <c r="P695">
        <f t="shared" si="42"/>
        <v>66.016018306636155</v>
      </c>
      <c r="Q695" t="s">
        <v>2037</v>
      </c>
      <c r="R695" t="s">
        <v>2038</v>
      </c>
      <c r="S695" s="10">
        <f t="shared" si="44"/>
        <v>27314.620833333334</v>
      </c>
      <c r="T695" s="12">
        <f t="shared" si="43"/>
        <v>27316.320833333335</v>
      </c>
    </row>
    <row r="696" spans="1:20" x14ac:dyDescent="0.35">
      <c r="A696">
        <v>694</v>
      </c>
      <c r="B696" s="4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6">
        <f t="shared" si="41"/>
        <v>84.131868131868131</v>
      </c>
      <c r="P696">
        <f t="shared" si="42"/>
        <v>96.911392405063296</v>
      </c>
      <c r="Q696" t="s">
        <v>2037</v>
      </c>
      <c r="R696" t="s">
        <v>2038</v>
      </c>
      <c r="S696" s="10">
        <f t="shared" si="44"/>
        <v>27318.724999999999</v>
      </c>
      <c r="T696" s="12">
        <f t="shared" si="43"/>
        <v>27322.424999999999</v>
      </c>
    </row>
    <row r="697" spans="1:20" x14ac:dyDescent="0.35">
      <c r="A697">
        <v>695</v>
      </c>
      <c r="B697" s="4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6">
        <f t="shared" si="41"/>
        <v>133.93478260869566</v>
      </c>
      <c r="P697">
        <f t="shared" si="42"/>
        <v>62.867346938775512</v>
      </c>
      <c r="Q697" t="s">
        <v>2033</v>
      </c>
      <c r="R697" t="s">
        <v>2034</v>
      </c>
      <c r="S697" s="10">
        <f t="shared" si="44"/>
        <v>27244.325000000001</v>
      </c>
      <c r="T697" s="12">
        <f t="shared" si="43"/>
        <v>27245.924999999999</v>
      </c>
    </row>
    <row r="698" spans="1:20" x14ac:dyDescent="0.35">
      <c r="A698">
        <v>696</v>
      </c>
      <c r="B698" s="4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6">
        <f t="shared" si="41"/>
        <v>59.042047531992694</v>
      </c>
      <c r="P698">
        <f t="shared" si="42"/>
        <v>108.98537682789652</v>
      </c>
      <c r="Q698" t="s">
        <v>2037</v>
      </c>
      <c r="R698" t="s">
        <v>2038</v>
      </c>
      <c r="S698" s="10">
        <f t="shared" si="44"/>
        <v>27223.520833333332</v>
      </c>
      <c r="T698" s="12">
        <f t="shared" si="43"/>
        <v>27223.620833333334</v>
      </c>
    </row>
    <row r="699" spans="1:20" ht="31" x14ac:dyDescent="0.35">
      <c r="A699">
        <v>697</v>
      </c>
      <c r="B699" s="4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6">
        <f t="shared" si="41"/>
        <v>152.80062063615205</v>
      </c>
      <c r="P699">
        <f t="shared" si="42"/>
        <v>26.999314599040439</v>
      </c>
      <c r="Q699" t="s">
        <v>2033</v>
      </c>
      <c r="R699" t="s">
        <v>2041</v>
      </c>
      <c r="S699" s="10">
        <f t="shared" si="44"/>
        <v>27331.120833333334</v>
      </c>
      <c r="T699" s="12">
        <f t="shared" si="43"/>
        <v>27331.320833333335</v>
      </c>
    </row>
    <row r="700" spans="1:20" x14ac:dyDescent="0.35">
      <c r="A700">
        <v>698</v>
      </c>
      <c r="B700" s="4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6">
        <f t="shared" si="41"/>
        <v>446.69121140142522</v>
      </c>
      <c r="P700">
        <f t="shared" si="42"/>
        <v>65.004147943311438</v>
      </c>
      <c r="Q700" t="s">
        <v>2035</v>
      </c>
      <c r="R700" t="s">
        <v>2044</v>
      </c>
      <c r="S700" s="10">
        <f t="shared" si="44"/>
        <v>27099.224999999999</v>
      </c>
      <c r="T700" s="12">
        <f t="shared" si="43"/>
        <v>27100.625</v>
      </c>
    </row>
    <row r="701" spans="1:20" x14ac:dyDescent="0.35">
      <c r="A701">
        <v>699</v>
      </c>
      <c r="B701" s="4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6">
        <f t="shared" si="41"/>
        <v>84.391891891891888</v>
      </c>
      <c r="P701">
        <f t="shared" si="42"/>
        <v>111.51785714285714</v>
      </c>
      <c r="Q701" t="s">
        <v>2039</v>
      </c>
      <c r="R701" t="s">
        <v>2042</v>
      </c>
      <c r="S701" s="10">
        <f t="shared" si="44"/>
        <v>27376.220833333333</v>
      </c>
      <c r="T701" s="12">
        <f t="shared" si="43"/>
        <v>27376.320833333335</v>
      </c>
    </row>
    <row r="702" spans="1:20" ht="31" x14ac:dyDescent="0.35">
      <c r="A702">
        <v>700</v>
      </c>
      <c r="B702" s="4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6">
        <f t="shared" si="41"/>
        <v>3</v>
      </c>
      <c r="P702">
        <f t="shared" si="42"/>
        <v>3</v>
      </c>
      <c r="Q702" t="s">
        <v>2035</v>
      </c>
      <c r="R702" t="s">
        <v>2044</v>
      </c>
      <c r="S702" s="10">
        <f t="shared" si="44"/>
        <v>27032.424999999999</v>
      </c>
      <c r="T702" s="12">
        <f t="shared" si="43"/>
        <v>27033.924999999999</v>
      </c>
    </row>
    <row r="703" spans="1:20" ht="31" x14ac:dyDescent="0.35">
      <c r="A703">
        <v>701</v>
      </c>
      <c r="B703" s="4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6">
        <f t="shared" si="41"/>
        <v>175.02692307692308</v>
      </c>
      <c r="P703">
        <f t="shared" si="42"/>
        <v>110.99268292682927</v>
      </c>
      <c r="Q703" t="s">
        <v>2037</v>
      </c>
      <c r="R703" t="s">
        <v>2038</v>
      </c>
      <c r="S703" s="10">
        <f t="shared" si="44"/>
        <v>27075.020833333332</v>
      </c>
      <c r="T703" s="12">
        <f t="shared" si="43"/>
        <v>27075.720833333333</v>
      </c>
    </row>
    <row r="704" spans="1:20" ht="31" x14ac:dyDescent="0.35">
      <c r="A704">
        <v>702</v>
      </c>
      <c r="B704" s="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6">
        <f t="shared" si="41"/>
        <v>54.137931034482754</v>
      </c>
      <c r="P704">
        <f t="shared" si="42"/>
        <v>56.746987951807228</v>
      </c>
      <c r="Q704" t="s">
        <v>2035</v>
      </c>
      <c r="R704" t="s">
        <v>2044</v>
      </c>
      <c r="S704" s="10">
        <f t="shared" si="44"/>
        <v>27159.820833333335</v>
      </c>
      <c r="T704" s="12">
        <f t="shared" si="43"/>
        <v>27160.320833333335</v>
      </c>
    </row>
    <row r="705" spans="1:20" x14ac:dyDescent="0.35">
      <c r="A705">
        <v>703</v>
      </c>
      <c r="B705" s="4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6">
        <f t="shared" si="41"/>
        <v>311.87381703470032</v>
      </c>
      <c r="P705">
        <f t="shared" si="42"/>
        <v>97.020608439646708</v>
      </c>
      <c r="Q705" t="s">
        <v>2045</v>
      </c>
      <c r="R705" t="s">
        <v>2057</v>
      </c>
      <c r="S705" s="10">
        <f t="shared" si="44"/>
        <v>27114.120833333334</v>
      </c>
      <c r="T705" s="12">
        <f t="shared" si="43"/>
        <v>27115.820833333335</v>
      </c>
    </row>
    <row r="706" spans="1:20" ht="31" x14ac:dyDescent="0.35">
      <c r="A706">
        <v>704</v>
      </c>
      <c r="B706" s="4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6">
        <f t="shared" si="41"/>
        <v>122.78160919540231</v>
      </c>
      <c r="P706">
        <f t="shared" si="42"/>
        <v>92.08620689655173</v>
      </c>
      <c r="Q706" t="s">
        <v>2039</v>
      </c>
      <c r="R706" t="s">
        <v>2047</v>
      </c>
      <c r="S706" s="10">
        <f t="shared" si="44"/>
        <v>27267.620833333334</v>
      </c>
      <c r="T706" s="12">
        <f t="shared" si="43"/>
        <v>27269.120833333334</v>
      </c>
    </row>
    <row r="707" spans="1:20" x14ac:dyDescent="0.35">
      <c r="A707">
        <v>705</v>
      </c>
      <c r="B707" s="4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6">
        <f t="shared" ref="O707:O770" si="45">MAX(0,(E707/D707)*100)</f>
        <v>99.026517383618156</v>
      </c>
      <c r="P707">
        <f t="shared" ref="P707:P770" si="46">IFERROR(AVERAGE(E707/G707),0)</f>
        <v>82.986666666666665</v>
      </c>
      <c r="Q707" t="s">
        <v>2045</v>
      </c>
      <c r="R707" t="s">
        <v>2046</v>
      </c>
      <c r="S707" s="10">
        <f t="shared" si="44"/>
        <v>27174.025000000001</v>
      </c>
      <c r="T707" s="12">
        <f t="shared" ref="T707:T770" si="47">K707/864000+DATE(1970,1,1)</f>
        <v>27174.424999999999</v>
      </c>
    </row>
    <row r="708" spans="1:20" ht="31" x14ac:dyDescent="0.35">
      <c r="A708">
        <v>706</v>
      </c>
      <c r="B708" s="4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6">
        <f t="shared" si="45"/>
        <v>127.84686346863469</v>
      </c>
      <c r="P708">
        <f t="shared" si="46"/>
        <v>103.03791821561339</v>
      </c>
      <c r="Q708" t="s">
        <v>2035</v>
      </c>
      <c r="R708" t="s">
        <v>2036</v>
      </c>
      <c r="S708" s="10">
        <f t="shared" si="44"/>
        <v>27359.224999999999</v>
      </c>
      <c r="T708" s="12">
        <f t="shared" si="47"/>
        <v>27360.025000000001</v>
      </c>
    </row>
    <row r="709" spans="1:20" ht="31" x14ac:dyDescent="0.35">
      <c r="A709">
        <v>707</v>
      </c>
      <c r="B709" s="4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6">
        <f t="shared" si="45"/>
        <v>158.61643835616439</v>
      </c>
      <c r="P709">
        <f t="shared" si="46"/>
        <v>68.922619047619051</v>
      </c>
      <c r="Q709" t="s">
        <v>2039</v>
      </c>
      <c r="R709" t="s">
        <v>2042</v>
      </c>
      <c r="S709" s="10">
        <f t="shared" si="44"/>
        <v>27356.325000000001</v>
      </c>
      <c r="T709" s="12">
        <f t="shared" si="47"/>
        <v>27359.924999999999</v>
      </c>
    </row>
    <row r="710" spans="1:20" x14ac:dyDescent="0.35">
      <c r="A710">
        <v>708</v>
      </c>
      <c r="B710" s="4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6">
        <f t="shared" si="45"/>
        <v>707.05882352941171</v>
      </c>
      <c r="P710">
        <f t="shared" si="46"/>
        <v>87.737226277372258</v>
      </c>
      <c r="Q710" t="s">
        <v>2037</v>
      </c>
      <c r="R710" t="s">
        <v>2038</v>
      </c>
      <c r="S710" s="10">
        <f t="shared" si="44"/>
        <v>27299.820833333335</v>
      </c>
      <c r="T710" s="12">
        <f t="shared" si="47"/>
        <v>27300.820833333335</v>
      </c>
    </row>
    <row r="711" spans="1:20" x14ac:dyDescent="0.35">
      <c r="A711">
        <v>709</v>
      </c>
      <c r="B711" s="4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6">
        <f t="shared" si="45"/>
        <v>142.38775510204081</v>
      </c>
      <c r="P711">
        <f t="shared" si="46"/>
        <v>75.021505376344081</v>
      </c>
      <c r="Q711" t="s">
        <v>2037</v>
      </c>
      <c r="R711" t="s">
        <v>2038</v>
      </c>
      <c r="S711" s="10">
        <f t="shared" si="44"/>
        <v>27113.920833333334</v>
      </c>
      <c r="T711" s="12">
        <f t="shared" si="47"/>
        <v>27114.620833333334</v>
      </c>
    </row>
    <row r="712" spans="1:20" ht="31" x14ac:dyDescent="0.35">
      <c r="A712">
        <v>710</v>
      </c>
      <c r="B712" s="4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6">
        <f t="shared" si="45"/>
        <v>147.86046511627907</v>
      </c>
      <c r="P712">
        <f t="shared" si="46"/>
        <v>50.863999999999997</v>
      </c>
      <c r="Q712" t="s">
        <v>2037</v>
      </c>
      <c r="R712" t="s">
        <v>2038</v>
      </c>
      <c r="S712" s="10">
        <f t="shared" si="44"/>
        <v>27341.620833333334</v>
      </c>
      <c r="T712" s="12">
        <f t="shared" si="47"/>
        <v>27342.320833333335</v>
      </c>
    </row>
    <row r="713" spans="1:20" ht="31" x14ac:dyDescent="0.35">
      <c r="A713">
        <v>711</v>
      </c>
      <c r="B713" s="4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6">
        <f t="shared" si="45"/>
        <v>20.322580645161288</v>
      </c>
      <c r="P713">
        <f t="shared" si="46"/>
        <v>90</v>
      </c>
      <c r="Q713" t="s">
        <v>2037</v>
      </c>
      <c r="R713" t="s">
        <v>2038</v>
      </c>
      <c r="S713" s="10">
        <f t="shared" si="44"/>
        <v>27251.424999999999</v>
      </c>
      <c r="T713" s="12">
        <f t="shared" si="47"/>
        <v>27251.625</v>
      </c>
    </row>
    <row r="714" spans="1:20" ht="31" x14ac:dyDescent="0.35">
      <c r="A714">
        <v>712</v>
      </c>
      <c r="B714" s="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6">
        <f t="shared" si="45"/>
        <v>1840.625</v>
      </c>
      <c r="P714">
        <f t="shared" si="46"/>
        <v>72.896039603960389</v>
      </c>
      <c r="Q714" t="s">
        <v>2037</v>
      </c>
      <c r="R714" t="s">
        <v>2038</v>
      </c>
      <c r="S714" s="10">
        <f t="shared" si="44"/>
        <v>27268.020833333332</v>
      </c>
      <c r="T714" s="12">
        <f t="shared" si="47"/>
        <v>27272.120833333334</v>
      </c>
    </row>
    <row r="715" spans="1:20" x14ac:dyDescent="0.35">
      <c r="A715">
        <v>713</v>
      </c>
      <c r="B715" s="4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6">
        <f t="shared" si="45"/>
        <v>161.94202898550725</v>
      </c>
      <c r="P715">
        <f t="shared" si="46"/>
        <v>108.48543689320388</v>
      </c>
      <c r="Q715" t="s">
        <v>2045</v>
      </c>
      <c r="R715" t="s">
        <v>2054</v>
      </c>
      <c r="S715" s="10">
        <f t="shared" si="44"/>
        <v>27272.520833333332</v>
      </c>
      <c r="T715" s="12">
        <f t="shared" si="47"/>
        <v>27273.720833333333</v>
      </c>
    </row>
    <row r="716" spans="1:20" x14ac:dyDescent="0.35">
      <c r="A716">
        <v>714</v>
      </c>
      <c r="B716" s="4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6">
        <f t="shared" si="45"/>
        <v>472.82077922077923</v>
      </c>
      <c r="P716">
        <f t="shared" si="46"/>
        <v>101.98095238095237</v>
      </c>
      <c r="Q716" t="s">
        <v>2033</v>
      </c>
      <c r="R716" t="s">
        <v>2034</v>
      </c>
      <c r="S716" s="10">
        <f t="shared" si="44"/>
        <v>27199.120833333334</v>
      </c>
      <c r="T716" s="12">
        <f t="shared" si="47"/>
        <v>27199.220833333333</v>
      </c>
    </row>
    <row r="717" spans="1:20" x14ac:dyDescent="0.35">
      <c r="A717">
        <v>715</v>
      </c>
      <c r="B717" s="4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6">
        <f t="shared" si="45"/>
        <v>24.466101694915253</v>
      </c>
      <c r="P717">
        <f t="shared" si="46"/>
        <v>44.009146341463413</v>
      </c>
      <c r="Q717" t="s">
        <v>2048</v>
      </c>
      <c r="R717" t="s">
        <v>2059</v>
      </c>
      <c r="S717" s="10">
        <f t="shared" ref="S717:S780" si="48">J:J/864000+DATE(1970,1,1)</f>
        <v>27051.820833333335</v>
      </c>
      <c r="T717" s="12">
        <f t="shared" si="47"/>
        <v>27052.320833333335</v>
      </c>
    </row>
    <row r="718" spans="1:20" x14ac:dyDescent="0.35">
      <c r="A718">
        <v>716</v>
      </c>
      <c r="B718" s="4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6">
        <f t="shared" si="45"/>
        <v>517.65</v>
      </c>
      <c r="P718">
        <f t="shared" si="46"/>
        <v>65.942675159235662</v>
      </c>
      <c r="Q718" t="s">
        <v>2037</v>
      </c>
      <c r="R718" t="s">
        <v>2038</v>
      </c>
      <c r="S718" s="10">
        <f t="shared" si="48"/>
        <v>27158.620833333334</v>
      </c>
      <c r="T718" s="12">
        <f t="shared" si="47"/>
        <v>27161.420833333334</v>
      </c>
    </row>
    <row r="719" spans="1:20" ht="31" x14ac:dyDescent="0.35">
      <c r="A719">
        <v>717</v>
      </c>
      <c r="B719" s="4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6">
        <f t="shared" si="45"/>
        <v>247.64285714285714</v>
      </c>
      <c r="P719">
        <f t="shared" si="46"/>
        <v>24.987387387387386</v>
      </c>
      <c r="Q719" t="s">
        <v>2039</v>
      </c>
      <c r="R719" t="s">
        <v>2040</v>
      </c>
      <c r="S719" s="10">
        <f t="shared" si="48"/>
        <v>27089.820833333335</v>
      </c>
      <c r="T719" s="12">
        <f t="shared" si="47"/>
        <v>27091.920833333334</v>
      </c>
    </row>
    <row r="720" spans="1:20" x14ac:dyDescent="0.35">
      <c r="A720">
        <v>718</v>
      </c>
      <c r="B720" s="4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6">
        <f t="shared" si="45"/>
        <v>100.20481927710843</v>
      </c>
      <c r="P720">
        <f t="shared" si="46"/>
        <v>28.003367003367003</v>
      </c>
      <c r="Q720" t="s">
        <v>2035</v>
      </c>
      <c r="R720" t="s">
        <v>2044</v>
      </c>
      <c r="S720" s="10">
        <f t="shared" si="48"/>
        <v>27156.320833333335</v>
      </c>
      <c r="T720" s="12">
        <f t="shared" si="47"/>
        <v>27158.920833333334</v>
      </c>
    </row>
    <row r="721" spans="1:20" x14ac:dyDescent="0.35">
      <c r="A721">
        <v>719</v>
      </c>
      <c r="B721" s="4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6">
        <f t="shared" si="45"/>
        <v>153</v>
      </c>
      <c r="P721">
        <f t="shared" si="46"/>
        <v>85.829268292682926</v>
      </c>
      <c r="Q721" t="s">
        <v>2045</v>
      </c>
      <c r="R721" t="s">
        <v>2051</v>
      </c>
      <c r="S721" s="10">
        <f t="shared" si="48"/>
        <v>27117.920833333334</v>
      </c>
      <c r="T721" s="12">
        <f t="shared" si="47"/>
        <v>27119.020833333332</v>
      </c>
    </row>
    <row r="722" spans="1:20" ht="31" x14ac:dyDescent="0.35">
      <c r="A722">
        <v>720</v>
      </c>
      <c r="B722" s="4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6">
        <f t="shared" si="45"/>
        <v>37.091954022988503</v>
      </c>
      <c r="P722">
        <f t="shared" si="46"/>
        <v>84.921052631578945</v>
      </c>
      <c r="Q722" t="s">
        <v>2037</v>
      </c>
      <c r="R722" t="s">
        <v>2038</v>
      </c>
      <c r="S722" s="10">
        <f t="shared" si="48"/>
        <v>27327.325000000001</v>
      </c>
      <c r="T722" s="12">
        <f t="shared" si="47"/>
        <v>27328.724999999999</v>
      </c>
    </row>
    <row r="723" spans="1:20" x14ac:dyDescent="0.35">
      <c r="A723">
        <v>721</v>
      </c>
      <c r="B723" s="4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6">
        <f t="shared" si="45"/>
        <v>4.392394822006473</v>
      </c>
      <c r="P723">
        <f t="shared" si="46"/>
        <v>90.483333333333334</v>
      </c>
      <c r="Q723" t="s">
        <v>2033</v>
      </c>
      <c r="R723" t="s">
        <v>2034</v>
      </c>
      <c r="S723" s="10">
        <f t="shared" si="48"/>
        <v>27331.520833333332</v>
      </c>
      <c r="T723" s="12">
        <f t="shared" si="47"/>
        <v>27332.120833333334</v>
      </c>
    </row>
    <row r="724" spans="1:20" x14ac:dyDescent="0.35">
      <c r="A724">
        <v>722</v>
      </c>
      <c r="B724" s="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6">
        <f t="shared" si="45"/>
        <v>156.50721649484535</v>
      </c>
      <c r="P724">
        <f t="shared" si="46"/>
        <v>25.00197628458498</v>
      </c>
      <c r="Q724" t="s">
        <v>2039</v>
      </c>
      <c r="R724" t="s">
        <v>2040</v>
      </c>
      <c r="S724" s="10">
        <f t="shared" si="48"/>
        <v>27316.625</v>
      </c>
      <c r="T724" s="12">
        <f t="shared" si="47"/>
        <v>27319.325000000001</v>
      </c>
    </row>
    <row r="725" spans="1:20" x14ac:dyDescent="0.35">
      <c r="A725">
        <v>723</v>
      </c>
      <c r="B725" s="4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6">
        <f t="shared" si="45"/>
        <v>270.40816326530609</v>
      </c>
      <c r="P725">
        <f t="shared" si="46"/>
        <v>92.013888888888886</v>
      </c>
      <c r="Q725" t="s">
        <v>2037</v>
      </c>
      <c r="R725" t="s">
        <v>2038</v>
      </c>
      <c r="S725" s="10">
        <f t="shared" si="48"/>
        <v>27255.224999999999</v>
      </c>
      <c r="T725" s="12">
        <f t="shared" si="47"/>
        <v>27257.320833333335</v>
      </c>
    </row>
    <row r="726" spans="1:20" ht="31" x14ac:dyDescent="0.35">
      <c r="A726">
        <v>724</v>
      </c>
      <c r="B726" s="4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6">
        <f t="shared" si="45"/>
        <v>134.05952380952382</v>
      </c>
      <c r="P726">
        <f t="shared" si="46"/>
        <v>93.066115702479337</v>
      </c>
      <c r="Q726" t="s">
        <v>2037</v>
      </c>
      <c r="R726" t="s">
        <v>2038</v>
      </c>
      <c r="S726" s="10">
        <f t="shared" si="48"/>
        <v>27205.520833333332</v>
      </c>
      <c r="T726" s="12">
        <f t="shared" si="47"/>
        <v>27205.720833333333</v>
      </c>
    </row>
    <row r="727" spans="1:20" x14ac:dyDescent="0.35">
      <c r="A727">
        <v>725</v>
      </c>
      <c r="B727" s="4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6">
        <f t="shared" si="45"/>
        <v>50.398033126293996</v>
      </c>
      <c r="P727">
        <f t="shared" si="46"/>
        <v>61.008145363408524</v>
      </c>
      <c r="Q727" t="s">
        <v>2048</v>
      </c>
      <c r="R727" t="s">
        <v>2059</v>
      </c>
      <c r="S727" s="10">
        <f t="shared" si="48"/>
        <v>27207.924999999999</v>
      </c>
      <c r="T727" s="12">
        <f t="shared" si="47"/>
        <v>27208.125</v>
      </c>
    </row>
    <row r="728" spans="1:20" x14ac:dyDescent="0.35">
      <c r="A728">
        <v>726</v>
      </c>
      <c r="B728" s="4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6">
        <f t="shared" si="45"/>
        <v>88.815837937384899</v>
      </c>
      <c r="P728">
        <f t="shared" si="46"/>
        <v>92.036259541984734</v>
      </c>
      <c r="Q728" t="s">
        <v>2037</v>
      </c>
      <c r="R728" t="s">
        <v>2038</v>
      </c>
      <c r="S728" s="10">
        <f t="shared" si="48"/>
        <v>27059.720833333333</v>
      </c>
      <c r="T728" s="12">
        <f t="shared" si="47"/>
        <v>27060.320833333335</v>
      </c>
    </row>
    <row r="729" spans="1:20" x14ac:dyDescent="0.35">
      <c r="A729">
        <v>727</v>
      </c>
      <c r="B729" s="4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6">
        <f t="shared" si="45"/>
        <v>165</v>
      </c>
      <c r="P729">
        <f t="shared" si="46"/>
        <v>81.132596685082873</v>
      </c>
      <c r="Q729" t="s">
        <v>2035</v>
      </c>
      <c r="R729" t="s">
        <v>2036</v>
      </c>
      <c r="S729" s="10">
        <f t="shared" si="48"/>
        <v>27360.625</v>
      </c>
      <c r="T729" s="12">
        <f t="shared" si="47"/>
        <v>27366.420833333334</v>
      </c>
    </row>
    <row r="730" spans="1:20" ht="31" x14ac:dyDescent="0.35">
      <c r="A730">
        <v>728</v>
      </c>
      <c r="B730" s="4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6">
        <f t="shared" si="45"/>
        <v>17.5</v>
      </c>
      <c r="P730">
        <f t="shared" si="46"/>
        <v>73.5</v>
      </c>
      <c r="Q730" t="s">
        <v>2037</v>
      </c>
      <c r="R730" t="s">
        <v>2038</v>
      </c>
      <c r="S730" s="10">
        <f t="shared" si="48"/>
        <v>27263.620833333334</v>
      </c>
      <c r="T730" s="12">
        <f t="shared" si="47"/>
        <v>27264.720833333333</v>
      </c>
    </row>
    <row r="731" spans="1:20" ht="31" x14ac:dyDescent="0.35">
      <c r="A731">
        <v>729</v>
      </c>
      <c r="B731" s="4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6">
        <f t="shared" si="45"/>
        <v>185.66071428571428</v>
      </c>
      <c r="P731">
        <f t="shared" si="46"/>
        <v>85.221311475409834</v>
      </c>
      <c r="Q731" t="s">
        <v>2039</v>
      </c>
      <c r="R731" t="s">
        <v>2042</v>
      </c>
      <c r="S731" s="10">
        <f t="shared" si="48"/>
        <v>27143.025000000001</v>
      </c>
      <c r="T731" s="12">
        <f t="shared" si="47"/>
        <v>27143.224999999999</v>
      </c>
    </row>
    <row r="732" spans="1:20" x14ac:dyDescent="0.35">
      <c r="A732">
        <v>730</v>
      </c>
      <c r="B732" s="4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6">
        <f t="shared" si="45"/>
        <v>412.6631944444444</v>
      </c>
      <c r="P732">
        <f t="shared" si="46"/>
        <v>110.96825396825396</v>
      </c>
      <c r="Q732" t="s">
        <v>2035</v>
      </c>
      <c r="R732" t="s">
        <v>2044</v>
      </c>
      <c r="S732" s="10">
        <f t="shared" si="48"/>
        <v>27226.820833333335</v>
      </c>
      <c r="T732" s="12">
        <f t="shared" si="47"/>
        <v>27227.420833333334</v>
      </c>
    </row>
    <row r="733" spans="1:20" x14ac:dyDescent="0.35">
      <c r="A733">
        <v>731</v>
      </c>
      <c r="B733" s="4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6">
        <f t="shared" si="45"/>
        <v>90.25</v>
      </c>
      <c r="P733">
        <f t="shared" si="46"/>
        <v>32.968036529680369</v>
      </c>
      <c r="Q733" t="s">
        <v>2035</v>
      </c>
      <c r="R733" t="s">
        <v>2036</v>
      </c>
      <c r="S733" s="10">
        <f t="shared" si="48"/>
        <v>27306.020833333332</v>
      </c>
      <c r="T733" s="12">
        <f t="shared" si="47"/>
        <v>27306.120833333334</v>
      </c>
    </row>
    <row r="734" spans="1:20" x14ac:dyDescent="0.35">
      <c r="A734">
        <v>732</v>
      </c>
      <c r="B734" s="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6">
        <f t="shared" si="45"/>
        <v>91.984615384615381</v>
      </c>
      <c r="P734">
        <f t="shared" si="46"/>
        <v>96.005352363960753</v>
      </c>
      <c r="Q734" t="s">
        <v>2033</v>
      </c>
      <c r="R734" t="s">
        <v>2034</v>
      </c>
      <c r="S734" s="10">
        <f t="shared" si="48"/>
        <v>27293.720833333333</v>
      </c>
      <c r="T734" s="12">
        <f t="shared" si="47"/>
        <v>27296.020833333332</v>
      </c>
    </row>
    <row r="735" spans="1:20" x14ac:dyDescent="0.35">
      <c r="A735">
        <v>733</v>
      </c>
      <c r="B735" s="4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6">
        <f t="shared" si="45"/>
        <v>527.00632911392404</v>
      </c>
      <c r="P735">
        <f t="shared" si="46"/>
        <v>84.96632653061225</v>
      </c>
      <c r="Q735" t="s">
        <v>2033</v>
      </c>
      <c r="R735" t="s">
        <v>2055</v>
      </c>
      <c r="S735" s="10">
        <f t="shared" si="48"/>
        <v>27196.520833333332</v>
      </c>
      <c r="T735" s="12">
        <f t="shared" si="47"/>
        <v>27197.820833333335</v>
      </c>
    </row>
    <row r="736" spans="1:20" x14ac:dyDescent="0.35">
      <c r="A736">
        <v>734</v>
      </c>
      <c r="B736" s="4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6">
        <f t="shared" si="45"/>
        <v>319.14285714285711</v>
      </c>
      <c r="P736">
        <f t="shared" si="46"/>
        <v>25.007462686567163</v>
      </c>
      <c r="Q736" t="s">
        <v>2037</v>
      </c>
      <c r="R736" t="s">
        <v>2038</v>
      </c>
      <c r="S736" s="10">
        <f t="shared" si="48"/>
        <v>27288.424999999999</v>
      </c>
      <c r="T736" s="12">
        <f t="shared" si="47"/>
        <v>27289.625</v>
      </c>
    </row>
    <row r="737" spans="1:20" ht="31" x14ac:dyDescent="0.35">
      <c r="A737">
        <v>735</v>
      </c>
      <c r="B737" s="4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6">
        <f t="shared" si="45"/>
        <v>354.18867924528303</v>
      </c>
      <c r="P737">
        <f t="shared" si="46"/>
        <v>65.998995479658461</v>
      </c>
      <c r="Q737" t="s">
        <v>2052</v>
      </c>
      <c r="R737" t="s">
        <v>2053</v>
      </c>
      <c r="S737" s="10">
        <f t="shared" si="48"/>
        <v>27258.020833333332</v>
      </c>
      <c r="T737" s="12">
        <f t="shared" si="47"/>
        <v>27258.720833333333</v>
      </c>
    </row>
    <row r="738" spans="1:20" x14ac:dyDescent="0.35">
      <c r="A738">
        <v>736</v>
      </c>
      <c r="B738" s="4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6">
        <f t="shared" si="45"/>
        <v>32.896103896103895</v>
      </c>
      <c r="P738">
        <f t="shared" si="46"/>
        <v>87.34482758620689</v>
      </c>
      <c r="Q738" t="s">
        <v>2045</v>
      </c>
      <c r="R738" t="s">
        <v>2046</v>
      </c>
      <c r="S738" s="10">
        <f t="shared" si="48"/>
        <v>27217.625</v>
      </c>
      <c r="T738" s="12">
        <f t="shared" si="47"/>
        <v>27218.025000000001</v>
      </c>
    </row>
    <row r="739" spans="1:20" ht="31" x14ac:dyDescent="0.35">
      <c r="A739">
        <v>737</v>
      </c>
      <c r="B739" s="4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6">
        <f t="shared" si="45"/>
        <v>135.8918918918919</v>
      </c>
      <c r="P739">
        <f t="shared" si="46"/>
        <v>27.933333333333334</v>
      </c>
      <c r="Q739" t="s">
        <v>2033</v>
      </c>
      <c r="R739" t="s">
        <v>2043</v>
      </c>
      <c r="S739" s="10">
        <f t="shared" si="48"/>
        <v>27280.625</v>
      </c>
      <c r="T739" s="12">
        <f t="shared" si="47"/>
        <v>27281.825000000001</v>
      </c>
    </row>
    <row r="740" spans="1:20" x14ac:dyDescent="0.35">
      <c r="A740">
        <v>738</v>
      </c>
      <c r="B740" s="4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6">
        <f t="shared" si="45"/>
        <v>2.0843373493975905</v>
      </c>
      <c r="P740">
        <f t="shared" si="46"/>
        <v>103.8</v>
      </c>
      <c r="Q740" t="s">
        <v>2037</v>
      </c>
      <c r="R740" t="s">
        <v>2038</v>
      </c>
      <c r="S740" s="10">
        <f t="shared" si="48"/>
        <v>27208.025000000001</v>
      </c>
      <c r="T740" s="12">
        <f t="shared" si="47"/>
        <v>27210.224999999999</v>
      </c>
    </row>
    <row r="741" spans="1:20" x14ac:dyDescent="0.35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6">
        <f t="shared" si="45"/>
        <v>61</v>
      </c>
      <c r="P741">
        <f t="shared" si="46"/>
        <v>31.937172774869111</v>
      </c>
      <c r="Q741" t="s">
        <v>2033</v>
      </c>
      <c r="R741" t="s">
        <v>2043</v>
      </c>
      <c r="S741" s="10">
        <f t="shared" si="48"/>
        <v>27121.020833333332</v>
      </c>
      <c r="T741" s="12">
        <f t="shared" si="47"/>
        <v>27121.120833333334</v>
      </c>
    </row>
    <row r="742" spans="1:20" x14ac:dyDescent="0.35">
      <c r="A742">
        <v>740</v>
      </c>
      <c r="B742" s="4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6">
        <f t="shared" si="45"/>
        <v>30.037735849056602</v>
      </c>
      <c r="P742">
        <f t="shared" si="46"/>
        <v>99.5</v>
      </c>
      <c r="Q742" t="s">
        <v>2037</v>
      </c>
      <c r="R742" t="s">
        <v>2038</v>
      </c>
      <c r="S742" s="10">
        <f t="shared" si="48"/>
        <v>27289.025000000001</v>
      </c>
      <c r="T742" s="12">
        <f t="shared" si="47"/>
        <v>27289.325000000001</v>
      </c>
    </row>
    <row r="743" spans="1:20" x14ac:dyDescent="0.35">
      <c r="A743">
        <v>741</v>
      </c>
      <c r="B743" s="4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6">
        <f t="shared" si="45"/>
        <v>1179.1666666666665</v>
      </c>
      <c r="P743">
        <f t="shared" si="46"/>
        <v>108.84615384615384</v>
      </c>
      <c r="Q743" t="s">
        <v>2037</v>
      </c>
      <c r="R743" t="s">
        <v>2038</v>
      </c>
      <c r="S743" s="10">
        <f t="shared" si="48"/>
        <v>27044.220833333333</v>
      </c>
      <c r="T743" s="12">
        <f t="shared" si="47"/>
        <v>27044.320833333335</v>
      </c>
    </row>
    <row r="744" spans="1:20" x14ac:dyDescent="0.35">
      <c r="A744">
        <v>742</v>
      </c>
      <c r="B744" s="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6">
        <f t="shared" si="45"/>
        <v>1126.0833333333335</v>
      </c>
      <c r="P744">
        <f t="shared" si="46"/>
        <v>110.76229508196721</v>
      </c>
      <c r="Q744" t="s">
        <v>2033</v>
      </c>
      <c r="R744" t="s">
        <v>2041</v>
      </c>
      <c r="S744" s="10">
        <f t="shared" si="48"/>
        <v>27031.825000000001</v>
      </c>
      <c r="T744" s="12">
        <f t="shared" si="47"/>
        <v>27036.025000000001</v>
      </c>
    </row>
    <row r="745" spans="1:20" ht="31" x14ac:dyDescent="0.35">
      <c r="A745">
        <v>743</v>
      </c>
      <c r="B745" s="4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6">
        <f t="shared" si="45"/>
        <v>12.923076923076923</v>
      </c>
      <c r="P745">
        <f t="shared" si="46"/>
        <v>29.647058823529413</v>
      </c>
      <c r="Q745" t="s">
        <v>2037</v>
      </c>
      <c r="R745" t="s">
        <v>2038</v>
      </c>
      <c r="S745" s="10">
        <f t="shared" si="48"/>
        <v>27241.920833333334</v>
      </c>
      <c r="T745" s="12">
        <f t="shared" si="47"/>
        <v>27242.520833333332</v>
      </c>
    </row>
    <row r="746" spans="1:20" x14ac:dyDescent="0.35">
      <c r="A746">
        <v>744</v>
      </c>
      <c r="B746" s="4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6">
        <f t="shared" si="45"/>
        <v>712</v>
      </c>
      <c r="P746">
        <f t="shared" si="46"/>
        <v>101.71428571428571</v>
      </c>
      <c r="Q746" t="s">
        <v>2037</v>
      </c>
      <c r="R746" t="s">
        <v>2038</v>
      </c>
      <c r="S746" s="10">
        <f t="shared" si="48"/>
        <v>27344.320833333335</v>
      </c>
      <c r="T746" s="12">
        <f t="shared" si="47"/>
        <v>27344.520833333332</v>
      </c>
    </row>
    <row r="747" spans="1:20" ht="31" x14ac:dyDescent="0.35">
      <c r="A747">
        <v>745</v>
      </c>
      <c r="B747" s="4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6">
        <f t="shared" si="45"/>
        <v>30.304347826086957</v>
      </c>
      <c r="P747">
        <f t="shared" si="46"/>
        <v>61.5</v>
      </c>
      <c r="Q747" t="s">
        <v>2035</v>
      </c>
      <c r="R747" t="s">
        <v>2044</v>
      </c>
      <c r="S747" s="10">
        <f t="shared" si="48"/>
        <v>27044.920833333334</v>
      </c>
      <c r="T747" s="12">
        <f t="shared" si="47"/>
        <v>27047.620833333334</v>
      </c>
    </row>
    <row r="748" spans="1:20" x14ac:dyDescent="0.35">
      <c r="A748">
        <v>746</v>
      </c>
      <c r="B748" s="4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6">
        <f t="shared" si="45"/>
        <v>212.50896057347671</v>
      </c>
      <c r="P748">
        <f t="shared" si="46"/>
        <v>35</v>
      </c>
      <c r="Q748" t="s">
        <v>2035</v>
      </c>
      <c r="R748" t="s">
        <v>2036</v>
      </c>
      <c r="S748" s="10">
        <f t="shared" si="48"/>
        <v>27094.620833333334</v>
      </c>
      <c r="T748" s="12">
        <f t="shared" si="47"/>
        <v>27095.120833333334</v>
      </c>
    </row>
    <row r="749" spans="1:20" x14ac:dyDescent="0.35">
      <c r="A749">
        <v>747</v>
      </c>
      <c r="B749" s="4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6">
        <f t="shared" si="45"/>
        <v>228.85714285714286</v>
      </c>
      <c r="P749">
        <f t="shared" si="46"/>
        <v>40.049999999999997</v>
      </c>
      <c r="Q749" t="s">
        <v>2037</v>
      </c>
      <c r="R749" t="s">
        <v>2038</v>
      </c>
      <c r="S749" s="10">
        <f t="shared" si="48"/>
        <v>27054.420833333334</v>
      </c>
      <c r="T749" s="12">
        <f t="shared" si="47"/>
        <v>27055.520833333332</v>
      </c>
    </row>
    <row r="750" spans="1:20" x14ac:dyDescent="0.35">
      <c r="A750">
        <v>748</v>
      </c>
      <c r="B750" s="4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6">
        <f t="shared" si="45"/>
        <v>34.959979476654695</v>
      </c>
      <c r="P750">
        <f t="shared" si="46"/>
        <v>110.97231270358306</v>
      </c>
      <c r="Q750" t="s">
        <v>2039</v>
      </c>
      <c r="R750" t="s">
        <v>2047</v>
      </c>
      <c r="S750" s="10">
        <f t="shared" si="48"/>
        <v>27035.924999999999</v>
      </c>
      <c r="T750" s="12">
        <f t="shared" si="47"/>
        <v>27038.420833333334</v>
      </c>
    </row>
    <row r="751" spans="1:20" x14ac:dyDescent="0.35">
      <c r="A751">
        <v>749</v>
      </c>
      <c r="B751" s="4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6">
        <f t="shared" si="45"/>
        <v>157.29069767441862</v>
      </c>
      <c r="P751">
        <f t="shared" si="46"/>
        <v>36.959016393442624</v>
      </c>
      <c r="Q751" t="s">
        <v>2035</v>
      </c>
      <c r="R751" t="s">
        <v>2044</v>
      </c>
      <c r="S751" s="10">
        <f t="shared" si="48"/>
        <v>27204.120833333334</v>
      </c>
      <c r="T751" s="12">
        <f t="shared" si="47"/>
        <v>27205.320833333335</v>
      </c>
    </row>
    <row r="752" spans="1:20" x14ac:dyDescent="0.35">
      <c r="A752">
        <v>750</v>
      </c>
      <c r="B752" s="4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6">
        <f t="shared" si="45"/>
        <v>1</v>
      </c>
      <c r="P752">
        <f t="shared" si="46"/>
        <v>1</v>
      </c>
      <c r="Q752" t="s">
        <v>2033</v>
      </c>
      <c r="R752" t="s">
        <v>2041</v>
      </c>
      <c r="S752" s="10">
        <f t="shared" si="48"/>
        <v>27048.120833333334</v>
      </c>
      <c r="T752" s="12">
        <f t="shared" si="47"/>
        <v>27050.620833333334</v>
      </c>
    </row>
    <row r="753" spans="1:20" x14ac:dyDescent="0.35">
      <c r="A753">
        <v>751</v>
      </c>
      <c r="B753" s="4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6">
        <f t="shared" si="45"/>
        <v>232.30555555555554</v>
      </c>
      <c r="P753">
        <f t="shared" si="46"/>
        <v>30.974074074074075</v>
      </c>
      <c r="Q753" t="s">
        <v>2045</v>
      </c>
      <c r="R753" t="s">
        <v>2046</v>
      </c>
      <c r="S753" s="10">
        <f t="shared" si="48"/>
        <v>27256.720833333333</v>
      </c>
      <c r="T753" s="12">
        <f t="shared" si="47"/>
        <v>27258.220833333333</v>
      </c>
    </row>
    <row r="754" spans="1:20" x14ac:dyDescent="0.35">
      <c r="A754">
        <v>752</v>
      </c>
      <c r="B754" s="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6">
        <f t="shared" si="45"/>
        <v>92.448275862068968</v>
      </c>
      <c r="P754">
        <f t="shared" si="46"/>
        <v>47.035087719298247</v>
      </c>
      <c r="Q754" t="s">
        <v>2037</v>
      </c>
      <c r="R754" t="s">
        <v>2038</v>
      </c>
      <c r="S754" s="10">
        <f t="shared" si="48"/>
        <v>27051.620833333334</v>
      </c>
      <c r="T754" s="12">
        <f t="shared" si="47"/>
        <v>27053.420833333334</v>
      </c>
    </row>
    <row r="755" spans="1:20" x14ac:dyDescent="0.35">
      <c r="A755">
        <v>753</v>
      </c>
      <c r="B755" s="4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6">
        <f t="shared" si="45"/>
        <v>256.70212765957444</v>
      </c>
      <c r="P755">
        <f t="shared" si="46"/>
        <v>88.065693430656935</v>
      </c>
      <c r="Q755" t="s">
        <v>2052</v>
      </c>
      <c r="R755" t="s">
        <v>2053</v>
      </c>
      <c r="S755" s="10">
        <f t="shared" si="48"/>
        <v>27044.220833333333</v>
      </c>
      <c r="T755" s="12">
        <f t="shared" si="47"/>
        <v>27045.720833333333</v>
      </c>
    </row>
    <row r="756" spans="1:20" x14ac:dyDescent="0.35">
      <c r="A756">
        <v>754</v>
      </c>
      <c r="B756" s="4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6">
        <f t="shared" si="45"/>
        <v>168.47017045454547</v>
      </c>
      <c r="P756">
        <f t="shared" si="46"/>
        <v>37.005616224648989</v>
      </c>
      <c r="Q756" t="s">
        <v>2037</v>
      </c>
      <c r="R756" t="s">
        <v>2038</v>
      </c>
      <c r="S756" s="10">
        <f t="shared" si="48"/>
        <v>27133.120833333334</v>
      </c>
      <c r="T756" s="12">
        <f t="shared" si="47"/>
        <v>27138.424999999999</v>
      </c>
    </row>
    <row r="757" spans="1:20" x14ac:dyDescent="0.35">
      <c r="A757">
        <v>755</v>
      </c>
      <c r="B757" s="4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6">
        <f t="shared" si="45"/>
        <v>166.57777777777778</v>
      </c>
      <c r="P757">
        <f t="shared" si="46"/>
        <v>26.027777777777779</v>
      </c>
      <c r="Q757" t="s">
        <v>2037</v>
      </c>
      <c r="R757" t="s">
        <v>2038</v>
      </c>
      <c r="S757" s="10">
        <f t="shared" si="48"/>
        <v>27321.724999999999</v>
      </c>
      <c r="T757" s="12">
        <f t="shared" si="47"/>
        <v>27322.924999999999</v>
      </c>
    </row>
    <row r="758" spans="1:20" x14ac:dyDescent="0.35">
      <c r="A758">
        <v>756</v>
      </c>
      <c r="B758" s="4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6">
        <f t="shared" si="45"/>
        <v>772.07692307692309</v>
      </c>
      <c r="P758">
        <f t="shared" si="46"/>
        <v>67.817567567567565</v>
      </c>
      <c r="Q758" t="s">
        <v>2037</v>
      </c>
      <c r="R758" t="s">
        <v>2038</v>
      </c>
      <c r="S758" s="10">
        <f t="shared" si="48"/>
        <v>27214.525000000001</v>
      </c>
      <c r="T758" s="12">
        <f t="shared" si="47"/>
        <v>27215.125</v>
      </c>
    </row>
    <row r="759" spans="1:20" x14ac:dyDescent="0.35">
      <c r="A759">
        <v>757</v>
      </c>
      <c r="B759" s="4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6">
        <f t="shared" si="45"/>
        <v>406.85714285714283</v>
      </c>
      <c r="P759">
        <f t="shared" si="46"/>
        <v>49.964912280701753</v>
      </c>
      <c r="Q759" t="s">
        <v>2039</v>
      </c>
      <c r="R759" t="s">
        <v>2042</v>
      </c>
      <c r="S759" s="10">
        <f t="shared" si="48"/>
        <v>27079.620833333334</v>
      </c>
      <c r="T759" s="12">
        <f t="shared" si="47"/>
        <v>27080.020833333332</v>
      </c>
    </row>
    <row r="760" spans="1:20" x14ac:dyDescent="0.35">
      <c r="A760">
        <v>758</v>
      </c>
      <c r="B760" s="4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6">
        <f t="shared" si="45"/>
        <v>564.20608108108115</v>
      </c>
      <c r="P760">
        <f t="shared" si="46"/>
        <v>110.01646903820817</v>
      </c>
      <c r="Q760" t="s">
        <v>2033</v>
      </c>
      <c r="R760" t="s">
        <v>2034</v>
      </c>
      <c r="S760" s="10">
        <f t="shared" si="48"/>
        <v>27205.720833333333</v>
      </c>
      <c r="T760" s="12">
        <f t="shared" si="47"/>
        <v>27206.620833333334</v>
      </c>
    </row>
    <row r="761" spans="1:20" ht="31" x14ac:dyDescent="0.35">
      <c r="A761">
        <v>759</v>
      </c>
      <c r="B761" s="4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6">
        <f t="shared" si="45"/>
        <v>68.426865671641792</v>
      </c>
      <c r="P761">
        <f t="shared" si="46"/>
        <v>89.964678178963894</v>
      </c>
      <c r="Q761" t="s">
        <v>2033</v>
      </c>
      <c r="R761" t="s">
        <v>2041</v>
      </c>
      <c r="S761" s="10">
        <f t="shared" si="48"/>
        <v>27325.724999999999</v>
      </c>
      <c r="T761" s="12">
        <f t="shared" si="47"/>
        <v>27328.724999999999</v>
      </c>
    </row>
    <row r="762" spans="1:20" x14ac:dyDescent="0.35">
      <c r="A762">
        <v>760</v>
      </c>
      <c r="B762" s="4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6">
        <f t="shared" si="45"/>
        <v>34.351966873706004</v>
      </c>
      <c r="P762">
        <f t="shared" si="46"/>
        <v>79.009523809523813</v>
      </c>
      <c r="Q762" t="s">
        <v>2048</v>
      </c>
      <c r="R762" t="s">
        <v>2049</v>
      </c>
      <c r="S762" s="10">
        <f t="shared" si="48"/>
        <v>27379.920833333334</v>
      </c>
      <c r="T762" s="12">
        <f t="shared" si="47"/>
        <v>27382.820833333335</v>
      </c>
    </row>
    <row r="763" spans="1:20" x14ac:dyDescent="0.35">
      <c r="A763">
        <v>761</v>
      </c>
      <c r="B763" s="4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6">
        <f t="shared" si="45"/>
        <v>655.4545454545455</v>
      </c>
      <c r="P763">
        <f t="shared" si="46"/>
        <v>86.867469879518069</v>
      </c>
      <c r="Q763" t="s">
        <v>2033</v>
      </c>
      <c r="R763" t="s">
        <v>2034</v>
      </c>
      <c r="S763" s="10">
        <f t="shared" si="48"/>
        <v>27305.920833333334</v>
      </c>
      <c r="T763" s="12">
        <f t="shared" si="47"/>
        <v>27306.420833333334</v>
      </c>
    </row>
    <row r="764" spans="1:20" x14ac:dyDescent="0.35">
      <c r="A764">
        <v>762</v>
      </c>
      <c r="B764" s="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6">
        <f t="shared" si="45"/>
        <v>177.25714285714284</v>
      </c>
      <c r="P764">
        <f t="shared" si="46"/>
        <v>62.04</v>
      </c>
      <c r="Q764" t="s">
        <v>2033</v>
      </c>
      <c r="R764" t="s">
        <v>2056</v>
      </c>
      <c r="S764" s="10">
        <f t="shared" si="48"/>
        <v>27136.224999999999</v>
      </c>
      <c r="T764" s="12">
        <f t="shared" si="47"/>
        <v>27137.325000000001</v>
      </c>
    </row>
    <row r="765" spans="1:20" x14ac:dyDescent="0.35">
      <c r="A765">
        <v>763</v>
      </c>
      <c r="B765" s="4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6">
        <f t="shared" si="45"/>
        <v>113.17857142857144</v>
      </c>
      <c r="P765">
        <f t="shared" si="46"/>
        <v>26.970212765957445</v>
      </c>
      <c r="Q765" t="s">
        <v>2037</v>
      </c>
      <c r="R765" t="s">
        <v>2038</v>
      </c>
      <c r="S765" s="10">
        <f t="shared" si="48"/>
        <v>27115.820833333335</v>
      </c>
      <c r="T765" s="12">
        <f t="shared" si="47"/>
        <v>27119.320833333335</v>
      </c>
    </row>
    <row r="766" spans="1:20" ht="31" x14ac:dyDescent="0.35">
      <c r="A766">
        <v>764</v>
      </c>
      <c r="B766" s="4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6">
        <f t="shared" si="45"/>
        <v>728.18181818181824</v>
      </c>
      <c r="P766">
        <f t="shared" si="46"/>
        <v>54.121621621621621</v>
      </c>
      <c r="Q766" t="s">
        <v>2033</v>
      </c>
      <c r="R766" t="s">
        <v>2034</v>
      </c>
      <c r="S766" s="10">
        <f t="shared" si="48"/>
        <v>27079.720833333333</v>
      </c>
      <c r="T766" s="12">
        <f t="shared" si="47"/>
        <v>27080.520833333332</v>
      </c>
    </row>
    <row r="767" spans="1:20" x14ac:dyDescent="0.35">
      <c r="A767">
        <v>765</v>
      </c>
      <c r="B767" s="4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6">
        <f t="shared" si="45"/>
        <v>208.33333333333334</v>
      </c>
      <c r="P767">
        <f t="shared" si="46"/>
        <v>41.035353535353536</v>
      </c>
      <c r="Q767" t="s">
        <v>2033</v>
      </c>
      <c r="R767" t="s">
        <v>2043</v>
      </c>
      <c r="S767" s="10">
        <f t="shared" si="48"/>
        <v>27296.120833333334</v>
      </c>
      <c r="T767" s="12">
        <f t="shared" si="47"/>
        <v>27298.620833333334</v>
      </c>
    </row>
    <row r="768" spans="1:20" ht="31" x14ac:dyDescent="0.35">
      <c r="A768">
        <v>766</v>
      </c>
      <c r="B768" s="4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6">
        <f t="shared" si="45"/>
        <v>31.171232876712331</v>
      </c>
      <c r="P768">
        <f t="shared" si="46"/>
        <v>55.052419354838712</v>
      </c>
      <c r="Q768" t="s">
        <v>2039</v>
      </c>
      <c r="R768" t="s">
        <v>2061</v>
      </c>
      <c r="S768" s="10">
        <f t="shared" si="48"/>
        <v>27348.320833333335</v>
      </c>
      <c r="T768" s="12">
        <f t="shared" si="47"/>
        <v>27348.420833333334</v>
      </c>
    </row>
    <row r="769" spans="1:20" x14ac:dyDescent="0.35">
      <c r="A769">
        <v>767</v>
      </c>
      <c r="B769" s="4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6">
        <f t="shared" si="45"/>
        <v>56.967078189300416</v>
      </c>
      <c r="P769">
        <f t="shared" si="46"/>
        <v>107.93762183235867</v>
      </c>
      <c r="Q769" t="s">
        <v>2045</v>
      </c>
      <c r="R769" t="s">
        <v>2057</v>
      </c>
      <c r="S769" s="10">
        <f t="shared" si="48"/>
        <v>27240.420833333334</v>
      </c>
      <c r="T769" s="12">
        <f t="shared" si="47"/>
        <v>27244.924999999999</v>
      </c>
    </row>
    <row r="770" spans="1:20" x14ac:dyDescent="0.35">
      <c r="A770">
        <v>768</v>
      </c>
      <c r="B770" s="4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6">
        <f t="shared" si="45"/>
        <v>231</v>
      </c>
      <c r="P770">
        <f t="shared" si="46"/>
        <v>73.92</v>
      </c>
      <c r="Q770" t="s">
        <v>2037</v>
      </c>
      <c r="R770" t="s">
        <v>2038</v>
      </c>
      <c r="S770" s="10">
        <f t="shared" si="48"/>
        <v>27174.025000000001</v>
      </c>
      <c r="T770" s="12">
        <f t="shared" si="47"/>
        <v>27175.525000000001</v>
      </c>
    </row>
    <row r="771" spans="1:20" x14ac:dyDescent="0.35">
      <c r="A771">
        <v>769</v>
      </c>
      <c r="B771" s="4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6">
        <f t="shared" ref="O771:O834" si="49">MAX(0,(E771/D771)*100)</f>
        <v>86.867834394904463</v>
      </c>
      <c r="P771">
        <f t="shared" ref="P771:P834" si="50">IFERROR(AVERAGE(E771/G771),0)</f>
        <v>31.995894428152493</v>
      </c>
      <c r="Q771" t="s">
        <v>2048</v>
      </c>
      <c r="R771" t="s">
        <v>2049</v>
      </c>
      <c r="S771" s="10">
        <f t="shared" si="48"/>
        <v>27162.220833333333</v>
      </c>
      <c r="T771" s="12">
        <f t="shared" ref="T771:T834" si="51">K771/864000+DATE(1970,1,1)</f>
        <v>27164.820833333335</v>
      </c>
    </row>
    <row r="772" spans="1:20" x14ac:dyDescent="0.35">
      <c r="A772">
        <v>770</v>
      </c>
      <c r="B772" s="4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6">
        <f t="shared" si="49"/>
        <v>270.74418604651163</v>
      </c>
      <c r="P772">
        <f t="shared" si="50"/>
        <v>53.898148148148145</v>
      </c>
      <c r="Q772" t="s">
        <v>2037</v>
      </c>
      <c r="R772" t="s">
        <v>2038</v>
      </c>
      <c r="S772" s="10">
        <f t="shared" si="48"/>
        <v>27186.420833333334</v>
      </c>
      <c r="T772" s="12">
        <f t="shared" si="51"/>
        <v>27187.120833333334</v>
      </c>
    </row>
    <row r="773" spans="1:20" x14ac:dyDescent="0.35">
      <c r="A773">
        <v>771</v>
      </c>
      <c r="B773" s="4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6">
        <f t="shared" si="49"/>
        <v>49.446428571428569</v>
      </c>
      <c r="P773">
        <f t="shared" si="50"/>
        <v>106.5</v>
      </c>
      <c r="Q773" t="s">
        <v>2037</v>
      </c>
      <c r="R773" t="s">
        <v>2038</v>
      </c>
      <c r="S773" s="10">
        <f t="shared" si="48"/>
        <v>27361.224999999999</v>
      </c>
      <c r="T773" s="12">
        <f t="shared" si="51"/>
        <v>27363.924999999999</v>
      </c>
    </row>
    <row r="774" spans="1:20" x14ac:dyDescent="0.35">
      <c r="A774">
        <v>772</v>
      </c>
      <c r="B774" s="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6">
        <f t="shared" si="49"/>
        <v>113.3596256684492</v>
      </c>
      <c r="P774">
        <f t="shared" si="50"/>
        <v>32.999805409612762</v>
      </c>
      <c r="Q774" t="s">
        <v>2033</v>
      </c>
      <c r="R774" t="s">
        <v>2043</v>
      </c>
      <c r="S774" s="10">
        <f t="shared" si="48"/>
        <v>27362.625</v>
      </c>
      <c r="T774" s="12">
        <f t="shared" si="51"/>
        <v>27363.025000000001</v>
      </c>
    </row>
    <row r="775" spans="1:20" x14ac:dyDescent="0.35">
      <c r="A775">
        <v>773</v>
      </c>
      <c r="B775" s="4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6">
        <f t="shared" si="49"/>
        <v>190.55555555555554</v>
      </c>
      <c r="P775">
        <f t="shared" si="50"/>
        <v>43.00254993625159</v>
      </c>
      <c r="Q775" t="s">
        <v>2037</v>
      </c>
      <c r="R775" t="s">
        <v>2038</v>
      </c>
      <c r="S775" s="10">
        <f t="shared" si="48"/>
        <v>27295.920833333334</v>
      </c>
      <c r="T775" s="12">
        <f t="shared" si="51"/>
        <v>27296.920833333334</v>
      </c>
    </row>
    <row r="776" spans="1:20" x14ac:dyDescent="0.35">
      <c r="A776">
        <v>774</v>
      </c>
      <c r="B776" s="4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6">
        <f t="shared" si="49"/>
        <v>135.5</v>
      </c>
      <c r="P776">
        <f t="shared" si="50"/>
        <v>86.858974358974365</v>
      </c>
      <c r="Q776" t="s">
        <v>2035</v>
      </c>
      <c r="R776" t="s">
        <v>2036</v>
      </c>
      <c r="S776" s="10">
        <f t="shared" si="48"/>
        <v>27263.420833333334</v>
      </c>
      <c r="T776" s="12">
        <f t="shared" si="51"/>
        <v>27267.520833333332</v>
      </c>
    </row>
    <row r="777" spans="1:20" ht="31" x14ac:dyDescent="0.35">
      <c r="A777">
        <v>775</v>
      </c>
      <c r="B777" s="4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6">
        <f t="shared" si="49"/>
        <v>10.297872340425531</v>
      </c>
      <c r="P777">
        <f t="shared" si="50"/>
        <v>96.8</v>
      </c>
      <c r="Q777" t="s">
        <v>2033</v>
      </c>
      <c r="R777" t="s">
        <v>2034</v>
      </c>
      <c r="S777" s="10">
        <f t="shared" si="48"/>
        <v>27207.025000000001</v>
      </c>
      <c r="T777" s="12">
        <f t="shared" si="51"/>
        <v>27208.025000000001</v>
      </c>
    </row>
    <row r="778" spans="1:20" x14ac:dyDescent="0.35">
      <c r="A778">
        <v>776</v>
      </c>
      <c r="B778" s="4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6">
        <f t="shared" si="49"/>
        <v>65.544223826714799</v>
      </c>
      <c r="P778">
        <f t="shared" si="50"/>
        <v>32.995456610631528</v>
      </c>
      <c r="Q778" t="s">
        <v>2037</v>
      </c>
      <c r="R778" t="s">
        <v>2038</v>
      </c>
      <c r="S778" s="10">
        <f t="shared" si="48"/>
        <v>27377.120833333334</v>
      </c>
      <c r="T778" s="12">
        <f t="shared" si="51"/>
        <v>27378.920833333334</v>
      </c>
    </row>
    <row r="779" spans="1:20" x14ac:dyDescent="0.35">
      <c r="A779">
        <v>777</v>
      </c>
      <c r="B779" s="4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6">
        <f t="shared" si="49"/>
        <v>49.026652452025587</v>
      </c>
      <c r="P779">
        <f t="shared" si="50"/>
        <v>68.028106508875737</v>
      </c>
      <c r="Q779" t="s">
        <v>2037</v>
      </c>
      <c r="R779" t="s">
        <v>2038</v>
      </c>
      <c r="S779" s="10">
        <f t="shared" si="48"/>
        <v>27093.020833333332</v>
      </c>
      <c r="T779" s="12">
        <f t="shared" si="51"/>
        <v>27095.920833333334</v>
      </c>
    </row>
    <row r="780" spans="1:20" x14ac:dyDescent="0.35">
      <c r="A780">
        <v>778</v>
      </c>
      <c r="B780" s="4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6">
        <f t="shared" si="49"/>
        <v>787.92307692307691</v>
      </c>
      <c r="P780">
        <f t="shared" si="50"/>
        <v>58.867816091954026</v>
      </c>
      <c r="Q780" t="s">
        <v>2039</v>
      </c>
      <c r="R780" t="s">
        <v>2047</v>
      </c>
      <c r="S780" s="10">
        <f t="shared" si="48"/>
        <v>27088.920833333334</v>
      </c>
      <c r="T780" s="12">
        <f t="shared" si="51"/>
        <v>27089.420833333334</v>
      </c>
    </row>
    <row r="781" spans="1:20" x14ac:dyDescent="0.35">
      <c r="A781">
        <v>779</v>
      </c>
      <c r="B781" s="4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6">
        <f t="shared" si="49"/>
        <v>80.306347746090154</v>
      </c>
      <c r="P781">
        <f t="shared" si="50"/>
        <v>105.04572803850782</v>
      </c>
      <c r="Q781" t="s">
        <v>2037</v>
      </c>
      <c r="R781" t="s">
        <v>2038</v>
      </c>
      <c r="S781" s="10">
        <f t="shared" ref="S781:S844" si="52">J:J/864000+DATE(1970,1,1)</f>
        <v>27235.120833333334</v>
      </c>
      <c r="T781" s="12">
        <f t="shared" si="51"/>
        <v>27236.020833333332</v>
      </c>
    </row>
    <row r="782" spans="1:20" x14ac:dyDescent="0.35">
      <c r="A782">
        <v>780</v>
      </c>
      <c r="B782" s="4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6">
        <f t="shared" si="49"/>
        <v>106.29411764705883</v>
      </c>
      <c r="P782">
        <f t="shared" si="50"/>
        <v>33.054878048780488</v>
      </c>
      <c r="Q782" t="s">
        <v>2039</v>
      </c>
      <c r="R782" t="s">
        <v>2042</v>
      </c>
      <c r="S782" s="10">
        <f t="shared" si="52"/>
        <v>27269.420833333334</v>
      </c>
      <c r="T782" s="12">
        <f t="shared" si="51"/>
        <v>27271.320833333335</v>
      </c>
    </row>
    <row r="783" spans="1:20" x14ac:dyDescent="0.35">
      <c r="A783">
        <v>781</v>
      </c>
      <c r="B783" s="4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6">
        <f t="shared" si="49"/>
        <v>50.735632183908038</v>
      </c>
      <c r="P783">
        <f t="shared" si="50"/>
        <v>78.821428571428569</v>
      </c>
      <c r="Q783" t="s">
        <v>2037</v>
      </c>
      <c r="R783" t="s">
        <v>2038</v>
      </c>
      <c r="S783" s="10">
        <f t="shared" si="52"/>
        <v>27060.320833333335</v>
      </c>
      <c r="T783" s="12">
        <f t="shared" si="51"/>
        <v>27065.424999999999</v>
      </c>
    </row>
    <row r="784" spans="1:20" x14ac:dyDescent="0.35">
      <c r="A784">
        <v>782</v>
      </c>
      <c r="B784" s="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6">
        <f t="shared" si="49"/>
        <v>215.31372549019611</v>
      </c>
      <c r="P784">
        <f t="shared" si="50"/>
        <v>68.204968944099377</v>
      </c>
      <c r="Q784" t="s">
        <v>2039</v>
      </c>
      <c r="R784" t="s">
        <v>2047</v>
      </c>
      <c r="S784" s="10">
        <f t="shared" si="52"/>
        <v>27072.424999999999</v>
      </c>
      <c r="T784" s="12">
        <f t="shared" si="51"/>
        <v>27075.220833333333</v>
      </c>
    </row>
    <row r="785" spans="1:20" x14ac:dyDescent="0.35">
      <c r="A785">
        <v>783</v>
      </c>
      <c r="B785" s="4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6">
        <f t="shared" si="49"/>
        <v>141.22972972972974</v>
      </c>
      <c r="P785">
        <f t="shared" si="50"/>
        <v>75.731884057971016</v>
      </c>
      <c r="Q785" t="s">
        <v>2033</v>
      </c>
      <c r="R785" t="s">
        <v>2034</v>
      </c>
      <c r="S785" s="10">
        <f t="shared" si="52"/>
        <v>27174.625</v>
      </c>
      <c r="T785" s="12">
        <f t="shared" si="51"/>
        <v>27175.325000000001</v>
      </c>
    </row>
    <row r="786" spans="1:20" x14ac:dyDescent="0.35">
      <c r="A786">
        <v>784</v>
      </c>
      <c r="B786" s="4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6">
        <f t="shared" si="49"/>
        <v>115.33745781777279</v>
      </c>
      <c r="P786">
        <f t="shared" si="50"/>
        <v>30.996070133010882</v>
      </c>
      <c r="Q786" t="s">
        <v>2035</v>
      </c>
      <c r="R786" t="s">
        <v>2036</v>
      </c>
      <c r="S786" s="10">
        <f t="shared" si="52"/>
        <v>27255.625</v>
      </c>
      <c r="T786" s="12">
        <f t="shared" si="51"/>
        <v>27256.720833333333</v>
      </c>
    </row>
    <row r="787" spans="1:20" ht="31" x14ac:dyDescent="0.35">
      <c r="A787">
        <v>785</v>
      </c>
      <c r="B787" s="4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6">
        <f t="shared" si="49"/>
        <v>193.11940298507463</v>
      </c>
      <c r="P787">
        <f t="shared" si="50"/>
        <v>101.88188976377953</v>
      </c>
      <c r="Q787" t="s">
        <v>2039</v>
      </c>
      <c r="R787" t="s">
        <v>2047</v>
      </c>
      <c r="S787" s="10">
        <f t="shared" si="52"/>
        <v>27370.320833333335</v>
      </c>
      <c r="T787" s="12">
        <f t="shared" si="51"/>
        <v>27373.720833333333</v>
      </c>
    </row>
    <row r="788" spans="1:20" x14ac:dyDescent="0.35">
      <c r="A788">
        <v>786</v>
      </c>
      <c r="B788" s="4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6">
        <f t="shared" si="49"/>
        <v>729.73333333333335</v>
      </c>
      <c r="P788">
        <f t="shared" si="50"/>
        <v>52.879227053140099</v>
      </c>
      <c r="Q788" t="s">
        <v>2033</v>
      </c>
      <c r="R788" t="s">
        <v>2056</v>
      </c>
      <c r="S788" s="10">
        <f t="shared" si="52"/>
        <v>27330.720833333333</v>
      </c>
      <c r="T788" s="12">
        <f t="shared" si="51"/>
        <v>27331.420833333334</v>
      </c>
    </row>
    <row r="789" spans="1:20" x14ac:dyDescent="0.35">
      <c r="A789">
        <v>787</v>
      </c>
      <c r="B789" s="4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6">
        <f t="shared" si="49"/>
        <v>99.66339869281046</v>
      </c>
      <c r="P789">
        <f t="shared" si="50"/>
        <v>71.005820721769496</v>
      </c>
      <c r="Q789" t="s">
        <v>2033</v>
      </c>
      <c r="R789" t="s">
        <v>2034</v>
      </c>
      <c r="S789" s="10">
        <f t="shared" si="52"/>
        <v>27080.520833333332</v>
      </c>
      <c r="T789" s="12">
        <f t="shared" si="51"/>
        <v>27081.420833333334</v>
      </c>
    </row>
    <row r="790" spans="1:20" x14ac:dyDescent="0.35">
      <c r="A790">
        <v>788</v>
      </c>
      <c r="B790" s="4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6">
        <f t="shared" si="49"/>
        <v>88.166666666666671</v>
      </c>
      <c r="P790">
        <f t="shared" si="50"/>
        <v>102.38709677419355</v>
      </c>
      <c r="Q790" t="s">
        <v>2039</v>
      </c>
      <c r="R790" t="s">
        <v>2047</v>
      </c>
      <c r="S790" s="10">
        <f t="shared" si="52"/>
        <v>27132.320833333335</v>
      </c>
      <c r="T790" s="12">
        <f t="shared" si="51"/>
        <v>27134.424999999999</v>
      </c>
    </row>
    <row r="791" spans="1:20" x14ac:dyDescent="0.35">
      <c r="A791">
        <v>789</v>
      </c>
      <c r="B791" s="4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6">
        <f t="shared" si="49"/>
        <v>37.233333333333334</v>
      </c>
      <c r="P791">
        <f t="shared" si="50"/>
        <v>74.466666666666669</v>
      </c>
      <c r="Q791" t="s">
        <v>2037</v>
      </c>
      <c r="R791" t="s">
        <v>2038</v>
      </c>
      <c r="S791" s="10">
        <f t="shared" si="52"/>
        <v>27190.720833333333</v>
      </c>
      <c r="T791" s="12">
        <f t="shared" si="51"/>
        <v>27194.420833333334</v>
      </c>
    </row>
    <row r="792" spans="1:20" x14ac:dyDescent="0.35">
      <c r="A792">
        <v>790</v>
      </c>
      <c r="B792" s="4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6">
        <f t="shared" si="49"/>
        <v>30.540075309306079</v>
      </c>
      <c r="P792">
        <f t="shared" si="50"/>
        <v>51.009883198562441</v>
      </c>
      <c r="Q792" t="s">
        <v>2037</v>
      </c>
      <c r="R792" t="s">
        <v>2038</v>
      </c>
      <c r="S792" s="10">
        <f t="shared" si="52"/>
        <v>27034.424999999999</v>
      </c>
      <c r="T792" s="12">
        <f t="shared" si="51"/>
        <v>27035.025000000001</v>
      </c>
    </row>
    <row r="793" spans="1:20" x14ac:dyDescent="0.35">
      <c r="A793">
        <v>791</v>
      </c>
      <c r="B793" s="4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6">
        <f t="shared" si="49"/>
        <v>25.714285714285712</v>
      </c>
      <c r="P793">
        <f t="shared" si="50"/>
        <v>90</v>
      </c>
      <c r="Q793" t="s">
        <v>2031</v>
      </c>
      <c r="R793" t="s">
        <v>2032</v>
      </c>
      <c r="S793" s="10">
        <f t="shared" si="52"/>
        <v>27283.625</v>
      </c>
      <c r="T793" s="12">
        <f t="shared" si="51"/>
        <v>27285.224999999999</v>
      </c>
    </row>
    <row r="794" spans="1:20" x14ac:dyDescent="0.35">
      <c r="A794">
        <v>792</v>
      </c>
      <c r="B794" s="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6">
        <f t="shared" si="49"/>
        <v>34</v>
      </c>
      <c r="P794">
        <f t="shared" si="50"/>
        <v>97.142857142857139</v>
      </c>
      <c r="Q794" t="s">
        <v>2037</v>
      </c>
      <c r="R794" t="s">
        <v>2038</v>
      </c>
      <c r="S794" s="10">
        <f t="shared" si="52"/>
        <v>27157.220833333333</v>
      </c>
      <c r="T794" s="12">
        <f t="shared" si="51"/>
        <v>27160.020833333332</v>
      </c>
    </row>
    <row r="795" spans="1:20" x14ac:dyDescent="0.35">
      <c r="A795">
        <v>793</v>
      </c>
      <c r="B795" s="4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6">
        <f t="shared" si="49"/>
        <v>1185.909090909091</v>
      </c>
      <c r="P795">
        <f t="shared" si="50"/>
        <v>72.071823204419886</v>
      </c>
      <c r="Q795" t="s">
        <v>2045</v>
      </c>
      <c r="R795" t="s">
        <v>2046</v>
      </c>
      <c r="S795" s="10">
        <f t="shared" si="52"/>
        <v>27157.120833333334</v>
      </c>
      <c r="T795" s="12">
        <f t="shared" si="51"/>
        <v>27157.520833333332</v>
      </c>
    </row>
    <row r="796" spans="1:20" x14ac:dyDescent="0.35">
      <c r="A796">
        <v>794</v>
      </c>
      <c r="B796" s="4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6">
        <f t="shared" si="49"/>
        <v>125.39393939393939</v>
      </c>
      <c r="P796">
        <f t="shared" si="50"/>
        <v>75.236363636363635</v>
      </c>
      <c r="Q796" t="s">
        <v>2033</v>
      </c>
      <c r="R796" t="s">
        <v>2034</v>
      </c>
      <c r="S796" s="10">
        <f t="shared" si="52"/>
        <v>27321.224999999999</v>
      </c>
      <c r="T796" s="12">
        <f t="shared" si="51"/>
        <v>27322.424999999999</v>
      </c>
    </row>
    <row r="797" spans="1:20" ht="31" x14ac:dyDescent="0.35">
      <c r="A797">
        <v>795</v>
      </c>
      <c r="B797" s="4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6">
        <f t="shared" si="49"/>
        <v>14.394366197183098</v>
      </c>
      <c r="P797">
        <f t="shared" si="50"/>
        <v>32.967741935483872</v>
      </c>
      <c r="Q797" t="s">
        <v>2039</v>
      </c>
      <c r="R797" t="s">
        <v>2042</v>
      </c>
      <c r="S797" s="10">
        <f t="shared" si="52"/>
        <v>27279.620833333334</v>
      </c>
      <c r="T797" s="12">
        <f t="shared" si="51"/>
        <v>27279.920833333334</v>
      </c>
    </row>
    <row r="798" spans="1:20" x14ac:dyDescent="0.35">
      <c r="A798">
        <v>796</v>
      </c>
      <c r="B798" s="4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6">
        <f t="shared" si="49"/>
        <v>54.807692307692314</v>
      </c>
      <c r="P798">
        <f t="shared" si="50"/>
        <v>54.807692307692307</v>
      </c>
      <c r="Q798" t="s">
        <v>2048</v>
      </c>
      <c r="R798" t="s">
        <v>2059</v>
      </c>
      <c r="S798" s="10">
        <f t="shared" si="52"/>
        <v>27198.020833333332</v>
      </c>
      <c r="T798" s="12">
        <f t="shared" si="51"/>
        <v>27198.720833333333</v>
      </c>
    </row>
    <row r="799" spans="1:20" x14ac:dyDescent="0.35">
      <c r="A799">
        <v>797</v>
      </c>
      <c r="B799" s="4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6">
        <f t="shared" si="49"/>
        <v>109.63157894736841</v>
      </c>
      <c r="P799">
        <f t="shared" si="50"/>
        <v>45.037837837837834</v>
      </c>
      <c r="Q799" t="s">
        <v>2035</v>
      </c>
      <c r="R799" t="s">
        <v>2036</v>
      </c>
      <c r="S799" s="10">
        <f t="shared" si="52"/>
        <v>27358.525000000001</v>
      </c>
      <c r="T799" s="12">
        <f t="shared" si="51"/>
        <v>27360.825000000001</v>
      </c>
    </row>
    <row r="800" spans="1:20" x14ac:dyDescent="0.35">
      <c r="A800">
        <v>798</v>
      </c>
      <c r="B800" s="4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6">
        <f t="shared" si="49"/>
        <v>188.47058823529412</v>
      </c>
      <c r="P800">
        <f t="shared" si="50"/>
        <v>52.958677685950413</v>
      </c>
      <c r="Q800" t="s">
        <v>2037</v>
      </c>
      <c r="R800" t="s">
        <v>2038</v>
      </c>
      <c r="S800" s="10">
        <f t="shared" si="52"/>
        <v>27118.120833333334</v>
      </c>
      <c r="T800" s="12">
        <f t="shared" si="51"/>
        <v>27120.920833333334</v>
      </c>
    </row>
    <row r="801" spans="1:20" x14ac:dyDescent="0.35">
      <c r="A801">
        <v>799</v>
      </c>
      <c r="B801" s="4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6">
        <f t="shared" si="49"/>
        <v>87.008284023668637</v>
      </c>
      <c r="P801">
        <f t="shared" si="50"/>
        <v>60.017959183673469</v>
      </c>
      <c r="Q801" t="s">
        <v>2037</v>
      </c>
      <c r="R801" t="s">
        <v>2038</v>
      </c>
      <c r="S801" s="10">
        <f t="shared" si="52"/>
        <v>27252.025000000001</v>
      </c>
      <c r="T801" s="12">
        <f t="shared" si="51"/>
        <v>27252.424999999999</v>
      </c>
    </row>
    <row r="802" spans="1:20" x14ac:dyDescent="0.35">
      <c r="A802">
        <v>800</v>
      </c>
      <c r="B802" s="4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6">
        <f t="shared" si="49"/>
        <v>1</v>
      </c>
      <c r="P802">
        <f t="shared" si="50"/>
        <v>1</v>
      </c>
      <c r="Q802" t="s">
        <v>2033</v>
      </c>
      <c r="R802" t="s">
        <v>2034</v>
      </c>
      <c r="S802" s="10">
        <f t="shared" si="52"/>
        <v>27228.820833333335</v>
      </c>
      <c r="T802" s="12">
        <f t="shared" si="51"/>
        <v>27229.220833333333</v>
      </c>
    </row>
    <row r="803" spans="1:20" x14ac:dyDescent="0.35">
      <c r="A803">
        <v>801</v>
      </c>
      <c r="B803" s="4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6">
        <f t="shared" si="49"/>
        <v>202.9130434782609</v>
      </c>
      <c r="P803">
        <f t="shared" si="50"/>
        <v>44.028301886792455</v>
      </c>
      <c r="Q803" t="s">
        <v>2052</v>
      </c>
      <c r="R803" t="s">
        <v>2053</v>
      </c>
      <c r="S803" s="10">
        <f t="shared" si="52"/>
        <v>27395.125</v>
      </c>
      <c r="T803" s="12">
        <f t="shared" si="51"/>
        <v>27397.325000000001</v>
      </c>
    </row>
    <row r="804" spans="1:20" ht="31" x14ac:dyDescent="0.35">
      <c r="A804">
        <v>802</v>
      </c>
      <c r="B804" s="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6">
        <f t="shared" si="49"/>
        <v>197.03225806451613</v>
      </c>
      <c r="P804">
        <f t="shared" si="50"/>
        <v>86.028169014084511</v>
      </c>
      <c r="Q804" t="s">
        <v>2052</v>
      </c>
      <c r="R804" t="s">
        <v>2053</v>
      </c>
      <c r="S804" s="10">
        <f t="shared" si="52"/>
        <v>27377.120833333334</v>
      </c>
      <c r="T804" s="12">
        <f t="shared" si="51"/>
        <v>27377.320833333335</v>
      </c>
    </row>
    <row r="805" spans="1:20" ht="31" x14ac:dyDescent="0.35">
      <c r="A805">
        <v>803</v>
      </c>
      <c r="B805" s="4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6">
        <f t="shared" si="49"/>
        <v>107</v>
      </c>
      <c r="P805">
        <f t="shared" si="50"/>
        <v>28.012875536480685</v>
      </c>
      <c r="Q805" t="s">
        <v>2037</v>
      </c>
      <c r="R805" t="s">
        <v>2038</v>
      </c>
      <c r="S805" s="10">
        <f t="shared" si="52"/>
        <v>27361.325000000001</v>
      </c>
      <c r="T805" s="12">
        <f t="shared" si="51"/>
        <v>27364.724999999999</v>
      </c>
    </row>
    <row r="806" spans="1:20" x14ac:dyDescent="0.35">
      <c r="A806">
        <v>804</v>
      </c>
      <c r="B806" s="4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6">
        <f t="shared" si="49"/>
        <v>268.73076923076923</v>
      </c>
      <c r="P806">
        <f t="shared" si="50"/>
        <v>32.050458715596328</v>
      </c>
      <c r="Q806" t="s">
        <v>2033</v>
      </c>
      <c r="R806" t="s">
        <v>2034</v>
      </c>
      <c r="S806" s="10">
        <f t="shared" si="52"/>
        <v>27322.325000000001</v>
      </c>
      <c r="T806" s="12">
        <f t="shared" si="51"/>
        <v>27324.325000000001</v>
      </c>
    </row>
    <row r="807" spans="1:20" ht="31" x14ac:dyDescent="0.35">
      <c r="A807">
        <v>805</v>
      </c>
      <c r="B807" s="4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6">
        <f t="shared" si="49"/>
        <v>50.845360824742272</v>
      </c>
      <c r="P807">
        <f t="shared" si="50"/>
        <v>73.611940298507463</v>
      </c>
      <c r="Q807" t="s">
        <v>2039</v>
      </c>
      <c r="R807" t="s">
        <v>2040</v>
      </c>
      <c r="S807" s="10">
        <f t="shared" si="52"/>
        <v>27207.924999999999</v>
      </c>
      <c r="T807" s="12">
        <f t="shared" si="51"/>
        <v>27213.025000000001</v>
      </c>
    </row>
    <row r="808" spans="1:20" x14ac:dyDescent="0.35">
      <c r="A808">
        <v>806</v>
      </c>
      <c r="B808" s="4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6">
        <f t="shared" si="49"/>
        <v>1180.2857142857142</v>
      </c>
      <c r="P808">
        <f t="shared" si="50"/>
        <v>108.71052631578948</v>
      </c>
      <c r="Q808" t="s">
        <v>2039</v>
      </c>
      <c r="R808" t="s">
        <v>2042</v>
      </c>
      <c r="S808" s="10">
        <f t="shared" si="52"/>
        <v>27109.424999999999</v>
      </c>
      <c r="T808" s="12">
        <f t="shared" si="51"/>
        <v>27111.820833333335</v>
      </c>
    </row>
    <row r="809" spans="1:20" x14ac:dyDescent="0.35">
      <c r="A809">
        <v>807</v>
      </c>
      <c r="B809" s="4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6">
        <f t="shared" si="49"/>
        <v>264</v>
      </c>
      <c r="P809">
        <f t="shared" si="50"/>
        <v>42.97674418604651</v>
      </c>
      <c r="Q809" t="s">
        <v>2037</v>
      </c>
      <c r="R809" t="s">
        <v>2038</v>
      </c>
      <c r="S809" s="10">
        <f t="shared" si="52"/>
        <v>27387.420833333334</v>
      </c>
      <c r="T809" s="12">
        <f t="shared" si="51"/>
        <v>27391.825000000001</v>
      </c>
    </row>
    <row r="810" spans="1:20" x14ac:dyDescent="0.35">
      <c r="A810">
        <v>808</v>
      </c>
      <c r="B810" s="4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6">
        <f t="shared" si="49"/>
        <v>30.44230769230769</v>
      </c>
      <c r="P810">
        <f t="shared" si="50"/>
        <v>83.315789473684205</v>
      </c>
      <c r="Q810" t="s">
        <v>2031</v>
      </c>
      <c r="R810" t="s">
        <v>2032</v>
      </c>
      <c r="S810" s="10">
        <f t="shared" si="52"/>
        <v>27262.820833333335</v>
      </c>
      <c r="T810" s="12">
        <f t="shared" si="51"/>
        <v>27264.520833333332</v>
      </c>
    </row>
    <row r="811" spans="1:20" x14ac:dyDescent="0.35">
      <c r="A811">
        <v>809</v>
      </c>
      <c r="B811" s="4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6">
        <f t="shared" si="49"/>
        <v>62.880681818181813</v>
      </c>
      <c r="P811">
        <f t="shared" si="50"/>
        <v>42</v>
      </c>
      <c r="Q811" t="s">
        <v>2039</v>
      </c>
      <c r="R811" t="s">
        <v>2040</v>
      </c>
      <c r="S811" s="10">
        <f t="shared" si="52"/>
        <v>27125.620833333334</v>
      </c>
      <c r="T811" s="12">
        <f t="shared" si="51"/>
        <v>27125.720833333333</v>
      </c>
    </row>
    <row r="812" spans="1:20" x14ac:dyDescent="0.35">
      <c r="A812">
        <v>810</v>
      </c>
      <c r="B812" s="4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6">
        <f t="shared" si="49"/>
        <v>193.125</v>
      </c>
      <c r="P812">
        <f t="shared" si="50"/>
        <v>55.927601809954751</v>
      </c>
      <c r="Q812" t="s">
        <v>2037</v>
      </c>
      <c r="R812" t="s">
        <v>2038</v>
      </c>
      <c r="S812" s="10">
        <f t="shared" si="52"/>
        <v>27318.825000000001</v>
      </c>
      <c r="T812" s="12">
        <f t="shared" si="51"/>
        <v>27319.825000000001</v>
      </c>
    </row>
    <row r="813" spans="1:20" x14ac:dyDescent="0.35">
      <c r="A813">
        <v>811</v>
      </c>
      <c r="B813" s="4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6">
        <f t="shared" si="49"/>
        <v>77.102702702702715</v>
      </c>
      <c r="P813">
        <f t="shared" si="50"/>
        <v>105.03681885125184</v>
      </c>
      <c r="Q813" t="s">
        <v>2048</v>
      </c>
      <c r="R813" t="s">
        <v>2049</v>
      </c>
      <c r="S813" s="10">
        <f t="shared" si="52"/>
        <v>27249.924999999999</v>
      </c>
      <c r="T813" s="12">
        <f t="shared" si="51"/>
        <v>27250.125</v>
      </c>
    </row>
    <row r="814" spans="1:20" x14ac:dyDescent="0.35">
      <c r="A814">
        <v>812</v>
      </c>
      <c r="B814" s="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6">
        <f t="shared" si="49"/>
        <v>225.52763819095478</v>
      </c>
      <c r="P814">
        <f t="shared" si="50"/>
        <v>48</v>
      </c>
      <c r="Q814" t="s">
        <v>2045</v>
      </c>
      <c r="R814" t="s">
        <v>2046</v>
      </c>
      <c r="S814" s="10">
        <f t="shared" si="52"/>
        <v>27332.720833333333</v>
      </c>
      <c r="T814" s="12">
        <f t="shared" si="51"/>
        <v>27333.220833333333</v>
      </c>
    </row>
    <row r="815" spans="1:20" x14ac:dyDescent="0.35">
      <c r="A815">
        <v>813</v>
      </c>
      <c r="B815" s="4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6">
        <f t="shared" si="49"/>
        <v>239.40625</v>
      </c>
      <c r="P815">
        <f t="shared" si="50"/>
        <v>112.66176470588235</v>
      </c>
      <c r="Q815" t="s">
        <v>2048</v>
      </c>
      <c r="R815" t="s">
        <v>2049</v>
      </c>
      <c r="S815" s="10">
        <f t="shared" si="52"/>
        <v>27126.920833333334</v>
      </c>
      <c r="T815" s="12">
        <f t="shared" si="51"/>
        <v>27127.920833333334</v>
      </c>
    </row>
    <row r="816" spans="1:20" x14ac:dyDescent="0.35">
      <c r="A816">
        <v>814</v>
      </c>
      <c r="B816" s="4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6">
        <f t="shared" si="49"/>
        <v>92.1875</v>
      </c>
      <c r="P816">
        <f t="shared" si="50"/>
        <v>81.944444444444443</v>
      </c>
      <c r="Q816" t="s">
        <v>2033</v>
      </c>
      <c r="R816" t="s">
        <v>2034</v>
      </c>
      <c r="S816" s="10">
        <f t="shared" si="52"/>
        <v>27263.820833333335</v>
      </c>
      <c r="T816" s="12">
        <f t="shared" si="51"/>
        <v>27264.020833333332</v>
      </c>
    </row>
    <row r="817" spans="1:20" ht="31" x14ac:dyDescent="0.35">
      <c r="A817">
        <v>815</v>
      </c>
      <c r="B817" s="4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6">
        <f t="shared" si="49"/>
        <v>130.23333333333335</v>
      </c>
      <c r="P817">
        <f t="shared" si="50"/>
        <v>64.049180327868854</v>
      </c>
      <c r="Q817" t="s">
        <v>2033</v>
      </c>
      <c r="R817" t="s">
        <v>2034</v>
      </c>
      <c r="S817" s="10">
        <f t="shared" si="52"/>
        <v>27318.924999999999</v>
      </c>
      <c r="T817" s="12">
        <f t="shared" si="51"/>
        <v>27321.525000000001</v>
      </c>
    </row>
    <row r="818" spans="1:20" x14ac:dyDescent="0.35">
      <c r="A818">
        <v>816</v>
      </c>
      <c r="B818" s="4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6">
        <f t="shared" si="49"/>
        <v>615.21739130434787</v>
      </c>
      <c r="P818">
        <f t="shared" si="50"/>
        <v>106.39097744360902</v>
      </c>
      <c r="Q818" t="s">
        <v>2037</v>
      </c>
      <c r="R818" t="s">
        <v>2038</v>
      </c>
      <c r="S818" s="10">
        <f t="shared" si="52"/>
        <v>27180.125</v>
      </c>
      <c r="T818" s="12">
        <f t="shared" si="51"/>
        <v>27180.325000000001</v>
      </c>
    </row>
    <row r="819" spans="1:20" x14ac:dyDescent="0.35">
      <c r="A819">
        <v>817</v>
      </c>
      <c r="B819" s="4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6">
        <f t="shared" si="49"/>
        <v>368.79532163742692</v>
      </c>
      <c r="P819">
        <f t="shared" si="50"/>
        <v>76.011249497790274</v>
      </c>
      <c r="Q819" t="s">
        <v>2045</v>
      </c>
      <c r="R819" t="s">
        <v>2046</v>
      </c>
      <c r="S819" s="10">
        <f t="shared" si="52"/>
        <v>27371.020833333332</v>
      </c>
      <c r="T819" s="12">
        <f t="shared" si="51"/>
        <v>27373.820833333335</v>
      </c>
    </row>
    <row r="820" spans="1:20" x14ac:dyDescent="0.35">
      <c r="A820">
        <v>818</v>
      </c>
      <c r="B820" s="4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6">
        <f t="shared" si="49"/>
        <v>1094.8571428571429</v>
      </c>
      <c r="P820">
        <f t="shared" si="50"/>
        <v>111.07246376811594</v>
      </c>
      <c r="Q820" t="s">
        <v>2037</v>
      </c>
      <c r="R820" t="s">
        <v>2038</v>
      </c>
      <c r="S820" s="10">
        <f t="shared" si="52"/>
        <v>27360.724999999999</v>
      </c>
      <c r="T820" s="12">
        <f t="shared" si="51"/>
        <v>27362.025000000001</v>
      </c>
    </row>
    <row r="821" spans="1:20" ht="31" x14ac:dyDescent="0.35">
      <c r="A821">
        <v>819</v>
      </c>
      <c r="B821" s="4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6">
        <f t="shared" si="49"/>
        <v>50.662921348314605</v>
      </c>
      <c r="P821">
        <f t="shared" si="50"/>
        <v>95.936170212765958</v>
      </c>
      <c r="Q821" t="s">
        <v>2048</v>
      </c>
      <c r="R821" t="s">
        <v>2049</v>
      </c>
      <c r="S821" s="10">
        <f t="shared" si="52"/>
        <v>27135.825000000001</v>
      </c>
      <c r="T821" s="12">
        <f t="shared" si="51"/>
        <v>27137.325000000001</v>
      </c>
    </row>
    <row r="822" spans="1:20" x14ac:dyDescent="0.35">
      <c r="A822">
        <v>820</v>
      </c>
      <c r="B822" s="4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6">
        <f t="shared" si="49"/>
        <v>800.6</v>
      </c>
      <c r="P822">
        <f t="shared" si="50"/>
        <v>43.043010752688176</v>
      </c>
      <c r="Q822" t="s">
        <v>2033</v>
      </c>
      <c r="R822" t="s">
        <v>2034</v>
      </c>
      <c r="S822" s="10">
        <f t="shared" si="52"/>
        <v>27343.120833333334</v>
      </c>
      <c r="T822" s="12">
        <f t="shared" si="51"/>
        <v>27344.420833333334</v>
      </c>
    </row>
    <row r="823" spans="1:20" x14ac:dyDescent="0.35">
      <c r="A823">
        <v>821</v>
      </c>
      <c r="B823" s="4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6">
        <f t="shared" si="49"/>
        <v>291.28571428571428</v>
      </c>
      <c r="P823">
        <f t="shared" si="50"/>
        <v>67.966666666666669</v>
      </c>
      <c r="Q823" t="s">
        <v>2039</v>
      </c>
      <c r="R823" t="s">
        <v>2040</v>
      </c>
      <c r="S823" s="10">
        <f t="shared" si="52"/>
        <v>27291.525000000001</v>
      </c>
      <c r="T823" s="12">
        <f t="shared" si="51"/>
        <v>27292.820833333335</v>
      </c>
    </row>
    <row r="824" spans="1:20" x14ac:dyDescent="0.35">
      <c r="A824">
        <v>822</v>
      </c>
      <c r="B824" s="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6">
        <f t="shared" si="49"/>
        <v>349.9666666666667</v>
      </c>
      <c r="P824">
        <f t="shared" si="50"/>
        <v>89.991428571428571</v>
      </c>
      <c r="Q824" t="s">
        <v>2033</v>
      </c>
      <c r="R824" t="s">
        <v>2034</v>
      </c>
      <c r="S824" s="10">
        <f t="shared" si="52"/>
        <v>27181.924999999999</v>
      </c>
      <c r="T824" s="12">
        <f t="shared" si="51"/>
        <v>27183.620833333334</v>
      </c>
    </row>
    <row r="825" spans="1:20" x14ac:dyDescent="0.35">
      <c r="A825">
        <v>823</v>
      </c>
      <c r="B825" s="4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6">
        <f t="shared" si="49"/>
        <v>357.07317073170731</v>
      </c>
      <c r="P825">
        <f t="shared" si="50"/>
        <v>58.095238095238095</v>
      </c>
      <c r="Q825" t="s">
        <v>2033</v>
      </c>
      <c r="R825" t="s">
        <v>2034</v>
      </c>
      <c r="S825" s="10">
        <f t="shared" si="52"/>
        <v>27201.320833333335</v>
      </c>
      <c r="T825" s="12">
        <f t="shared" si="51"/>
        <v>27203.820833333335</v>
      </c>
    </row>
    <row r="826" spans="1:20" x14ac:dyDescent="0.35">
      <c r="A826">
        <v>824</v>
      </c>
      <c r="B826" s="4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6">
        <f t="shared" si="49"/>
        <v>126.48941176470588</v>
      </c>
      <c r="P826">
        <f t="shared" si="50"/>
        <v>83.996875000000003</v>
      </c>
      <c r="Q826" t="s">
        <v>2045</v>
      </c>
      <c r="R826" t="s">
        <v>2046</v>
      </c>
      <c r="S826" s="10">
        <f t="shared" si="52"/>
        <v>27046.920833333334</v>
      </c>
      <c r="T826" s="12">
        <f t="shared" si="51"/>
        <v>27050.120833333334</v>
      </c>
    </row>
    <row r="827" spans="1:20" x14ac:dyDescent="0.35">
      <c r="A827">
        <v>825</v>
      </c>
      <c r="B827" s="4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6">
        <f t="shared" si="49"/>
        <v>387.5</v>
      </c>
      <c r="P827">
        <f t="shared" si="50"/>
        <v>88.853503184713375</v>
      </c>
      <c r="Q827" t="s">
        <v>2039</v>
      </c>
      <c r="R827" t="s">
        <v>2050</v>
      </c>
      <c r="S827" s="10">
        <f t="shared" si="52"/>
        <v>27306.220833333333</v>
      </c>
      <c r="T827" s="12">
        <f t="shared" si="51"/>
        <v>27307.420833333334</v>
      </c>
    </row>
    <row r="828" spans="1:20" ht="31" x14ac:dyDescent="0.35">
      <c r="A828">
        <v>826</v>
      </c>
      <c r="B828" s="4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6">
        <f t="shared" si="49"/>
        <v>457.03571428571428</v>
      </c>
      <c r="P828">
        <f t="shared" si="50"/>
        <v>65.963917525773198</v>
      </c>
      <c r="Q828" t="s">
        <v>2037</v>
      </c>
      <c r="R828" t="s">
        <v>2038</v>
      </c>
      <c r="S828" s="10">
        <f t="shared" si="52"/>
        <v>27064.625</v>
      </c>
      <c r="T828" s="12">
        <f t="shared" si="51"/>
        <v>27067.424999999999</v>
      </c>
    </row>
    <row r="829" spans="1:20" ht="31" x14ac:dyDescent="0.35">
      <c r="A829">
        <v>827</v>
      </c>
      <c r="B829" s="4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6">
        <f t="shared" si="49"/>
        <v>266.69565217391306</v>
      </c>
      <c r="P829">
        <f t="shared" si="50"/>
        <v>74.804878048780495</v>
      </c>
      <c r="Q829" t="s">
        <v>2039</v>
      </c>
      <c r="R829" t="s">
        <v>2042</v>
      </c>
      <c r="S829" s="10">
        <f t="shared" si="52"/>
        <v>27078.720833333333</v>
      </c>
      <c r="T829" s="12">
        <f t="shared" si="51"/>
        <v>27079.920833333334</v>
      </c>
    </row>
    <row r="830" spans="1:20" ht="31" x14ac:dyDescent="0.35">
      <c r="A830">
        <v>828</v>
      </c>
      <c r="B830" s="4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6">
        <f t="shared" si="49"/>
        <v>69</v>
      </c>
      <c r="P830">
        <f t="shared" si="50"/>
        <v>69.98571428571428</v>
      </c>
      <c r="Q830" t="s">
        <v>2037</v>
      </c>
      <c r="R830" t="s">
        <v>2038</v>
      </c>
      <c r="S830" s="10">
        <f t="shared" si="52"/>
        <v>27346.120833333334</v>
      </c>
      <c r="T830" s="12">
        <f t="shared" si="51"/>
        <v>27348.620833333334</v>
      </c>
    </row>
    <row r="831" spans="1:20" x14ac:dyDescent="0.35">
      <c r="A831">
        <v>829</v>
      </c>
      <c r="B831" s="4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6">
        <f t="shared" si="49"/>
        <v>51.34375</v>
      </c>
      <c r="P831">
        <f t="shared" si="50"/>
        <v>32.006493506493506</v>
      </c>
      <c r="Q831" t="s">
        <v>2037</v>
      </c>
      <c r="R831" t="s">
        <v>2038</v>
      </c>
      <c r="S831" s="10">
        <f t="shared" si="52"/>
        <v>27228.520833333332</v>
      </c>
      <c r="T831" s="12">
        <f t="shared" si="51"/>
        <v>27230.020833333332</v>
      </c>
    </row>
    <row r="832" spans="1:20" ht="31" x14ac:dyDescent="0.35">
      <c r="A832">
        <v>830</v>
      </c>
      <c r="B832" s="4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6">
        <f t="shared" si="49"/>
        <v>1.1710526315789473</v>
      </c>
      <c r="P832">
        <f t="shared" si="50"/>
        <v>64.727272727272734</v>
      </c>
      <c r="Q832" t="s">
        <v>2037</v>
      </c>
      <c r="R832" t="s">
        <v>2038</v>
      </c>
      <c r="S832" s="10">
        <f t="shared" si="52"/>
        <v>27322.424999999999</v>
      </c>
      <c r="T832" s="12">
        <f t="shared" si="51"/>
        <v>27328.325000000001</v>
      </c>
    </row>
    <row r="833" spans="1:20" ht="31" x14ac:dyDescent="0.35">
      <c r="A833">
        <v>831</v>
      </c>
      <c r="B833" s="4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6">
        <f t="shared" si="49"/>
        <v>108.97734294541709</v>
      </c>
      <c r="P833">
        <f t="shared" si="50"/>
        <v>24.998110087408456</v>
      </c>
      <c r="Q833" t="s">
        <v>2052</v>
      </c>
      <c r="R833" t="s">
        <v>2053</v>
      </c>
      <c r="S833" s="10">
        <f t="shared" si="52"/>
        <v>27111.520833333332</v>
      </c>
      <c r="T833" s="12">
        <f t="shared" si="51"/>
        <v>27114.920833333334</v>
      </c>
    </row>
    <row r="834" spans="1:20" x14ac:dyDescent="0.35">
      <c r="A834">
        <v>832</v>
      </c>
      <c r="B834" s="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6">
        <f t="shared" si="49"/>
        <v>315.17592592592592</v>
      </c>
      <c r="P834">
        <f t="shared" si="50"/>
        <v>104.97764070932922</v>
      </c>
      <c r="Q834" t="s">
        <v>2045</v>
      </c>
      <c r="R834" t="s">
        <v>2057</v>
      </c>
      <c r="S834" s="10">
        <f t="shared" si="52"/>
        <v>27242.020833333332</v>
      </c>
      <c r="T834" s="12">
        <f t="shared" si="51"/>
        <v>27245.424999999999</v>
      </c>
    </row>
    <row r="835" spans="1:20" x14ac:dyDescent="0.35">
      <c r="A835">
        <v>833</v>
      </c>
      <c r="B835" s="4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6">
        <f t="shared" ref="O835:O898" si="53">MAX(0,(E835/D835)*100)</f>
        <v>157.69117647058823</v>
      </c>
      <c r="P835">
        <f t="shared" ref="P835:P898" si="54">IFERROR(AVERAGE(E835/G835),0)</f>
        <v>64.987878787878785</v>
      </c>
      <c r="Q835" t="s">
        <v>2045</v>
      </c>
      <c r="R835" t="s">
        <v>2057</v>
      </c>
      <c r="S835" s="10">
        <f t="shared" si="52"/>
        <v>27070.924999999999</v>
      </c>
      <c r="T835" s="12">
        <f t="shared" ref="T835:T898" si="55">K835/864000+DATE(1970,1,1)</f>
        <v>27072.025000000001</v>
      </c>
    </row>
    <row r="836" spans="1:20" x14ac:dyDescent="0.35">
      <c r="A836">
        <v>834</v>
      </c>
      <c r="B836" s="4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6">
        <f t="shared" si="53"/>
        <v>153.8082191780822</v>
      </c>
      <c r="P836">
        <f t="shared" si="54"/>
        <v>94.352941176470594</v>
      </c>
      <c r="Q836" t="s">
        <v>2037</v>
      </c>
      <c r="R836" t="s">
        <v>2038</v>
      </c>
      <c r="S836" s="10">
        <f t="shared" si="52"/>
        <v>27156.920833333334</v>
      </c>
      <c r="T836" s="12">
        <f t="shared" si="55"/>
        <v>27157.520833333332</v>
      </c>
    </row>
    <row r="837" spans="1:20" x14ac:dyDescent="0.35">
      <c r="A837">
        <v>835</v>
      </c>
      <c r="B837" s="4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6">
        <f t="shared" si="53"/>
        <v>89.738979118329468</v>
      </c>
      <c r="P837">
        <f t="shared" si="54"/>
        <v>44.001706484641637</v>
      </c>
      <c r="Q837" t="s">
        <v>2035</v>
      </c>
      <c r="R837" t="s">
        <v>2036</v>
      </c>
      <c r="S837" s="10">
        <f t="shared" si="52"/>
        <v>27218.424999999999</v>
      </c>
      <c r="T837" s="12">
        <f t="shared" si="55"/>
        <v>27219.025000000001</v>
      </c>
    </row>
    <row r="838" spans="1:20" x14ac:dyDescent="0.35">
      <c r="A838">
        <v>836</v>
      </c>
      <c r="B838" s="4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6">
        <f t="shared" si="53"/>
        <v>75.135802469135797</v>
      </c>
      <c r="P838">
        <f t="shared" si="54"/>
        <v>64.744680851063833</v>
      </c>
      <c r="Q838" t="s">
        <v>2033</v>
      </c>
      <c r="R838" t="s">
        <v>2043</v>
      </c>
      <c r="S838" s="10">
        <f t="shared" si="52"/>
        <v>27033.525000000001</v>
      </c>
      <c r="T838" s="12">
        <f t="shared" si="55"/>
        <v>27034.625</v>
      </c>
    </row>
    <row r="839" spans="1:20" x14ac:dyDescent="0.35">
      <c r="A839">
        <v>837</v>
      </c>
      <c r="B839" s="4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6">
        <f t="shared" si="53"/>
        <v>852.88135593220341</v>
      </c>
      <c r="P839">
        <f t="shared" si="54"/>
        <v>84.00667779632721</v>
      </c>
      <c r="Q839" t="s">
        <v>2033</v>
      </c>
      <c r="R839" t="s">
        <v>2056</v>
      </c>
      <c r="S839" s="10">
        <f t="shared" si="52"/>
        <v>27075.020833333332</v>
      </c>
      <c r="T839" s="12">
        <f t="shared" si="55"/>
        <v>27080.420833333334</v>
      </c>
    </row>
    <row r="840" spans="1:20" x14ac:dyDescent="0.35">
      <c r="A840">
        <v>838</v>
      </c>
      <c r="B840" s="4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6">
        <f t="shared" si="53"/>
        <v>138.90625</v>
      </c>
      <c r="P840">
        <f t="shared" si="54"/>
        <v>34.061302681992338</v>
      </c>
      <c r="Q840" t="s">
        <v>2037</v>
      </c>
      <c r="R840" t="s">
        <v>2038</v>
      </c>
      <c r="S840" s="10">
        <f t="shared" si="52"/>
        <v>27349.120833333334</v>
      </c>
      <c r="T840" s="12">
        <f t="shared" si="55"/>
        <v>27350.020833333332</v>
      </c>
    </row>
    <row r="841" spans="1:20" x14ac:dyDescent="0.35">
      <c r="A841">
        <v>839</v>
      </c>
      <c r="B841" s="4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6">
        <f t="shared" si="53"/>
        <v>190.18181818181819</v>
      </c>
      <c r="P841">
        <f t="shared" si="54"/>
        <v>93.273885350318466</v>
      </c>
      <c r="Q841" t="s">
        <v>2039</v>
      </c>
      <c r="R841" t="s">
        <v>2040</v>
      </c>
      <c r="S841" s="10">
        <f t="shared" si="52"/>
        <v>27183.620833333334</v>
      </c>
      <c r="T841" s="12">
        <f t="shared" si="55"/>
        <v>27188.120833333334</v>
      </c>
    </row>
    <row r="842" spans="1:20" x14ac:dyDescent="0.35">
      <c r="A842">
        <v>840</v>
      </c>
      <c r="B842" s="4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6">
        <f t="shared" si="53"/>
        <v>100.24333619948409</v>
      </c>
      <c r="P842">
        <f t="shared" si="54"/>
        <v>32.998301726577978</v>
      </c>
      <c r="Q842" t="s">
        <v>2037</v>
      </c>
      <c r="R842" t="s">
        <v>2038</v>
      </c>
      <c r="S842" s="10">
        <f t="shared" si="52"/>
        <v>27195.720833333333</v>
      </c>
      <c r="T842" s="12">
        <f t="shared" si="55"/>
        <v>27195.920833333334</v>
      </c>
    </row>
    <row r="843" spans="1:20" x14ac:dyDescent="0.35">
      <c r="A843">
        <v>841</v>
      </c>
      <c r="B843" s="4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6">
        <f t="shared" si="53"/>
        <v>142.75824175824175</v>
      </c>
      <c r="P843">
        <f t="shared" si="54"/>
        <v>83.812903225806451</v>
      </c>
      <c r="Q843" t="s">
        <v>2035</v>
      </c>
      <c r="R843" t="s">
        <v>2036</v>
      </c>
      <c r="S843" s="10">
        <f t="shared" si="52"/>
        <v>27254.025000000001</v>
      </c>
      <c r="T843" s="12">
        <f t="shared" si="55"/>
        <v>27255.625</v>
      </c>
    </row>
    <row r="844" spans="1:20" ht="31" x14ac:dyDescent="0.35">
      <c r="A844">
        <v>842</v>
      </c>
      <c r="B844" s="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6">
        <f t="shared" si="53"/>
        <v>563.13333333333333</v>
      </c>
      <c r="P844">
        <f t="shared" si="54"/>
        <v>63.992424242424242</v>
      </c>
      <c r="Q844" t="s">
        <v>2035</v>
      </c>
      <c r="R844" t="s">
        <v>2044</v>
      </c>
      <c r="S844" s="10">
        <f t="shared" si="52"/>
        <v>27338.720833333333</v>
      </c>
      <c r="T844" s="12">
        <f t="shared" si="55"/>
        <v>27339.020833333332</v>
      </c>
    </row>
    <row r="845" spans="1:20" ht="31" x14ac:dyDescent="0.35">
      <c r="A845">
        <v>843</v>
      </c>
      <c r="B845" s="4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6">
        <f t="shared" si="53"/>
        <v>30.715909090909086</v>
      </c>
      <c r="P845">
        <f t="shared" si="54"/>
        <v>81.909090909090907</v>
      </c>
      <c r="Q845" t="s">
        <v>2052</v>
      </c>
      <c r="R845" t="s">
        <v>2053</v>
      </c>
      <c r="S845" s="10">
        <f t="shared" ref="S845:S908" si="56">J:J/864000+DATE(1970,1,1)</f>
        <v>27345.920833333334</v>
      </c>
      <c r="T845" s="12">
        <f t="shared" si="55"/>
        <v>27346.520833333332</v>
      </c>
    </row>
    <row r="846" spans="1:20" x14ac:dyDescent="0.35">
      <c r="A846">
        <v>844</v>
      </c>
      <c r="B846" s="4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6">
        <f t="shared" si="53"/>
        <v>99.39772727272728</v>
      </c>
      <c r="P846">
        <f t="shared" si="54"/>
        <v>93.053191489361708</v>
      </c>
      <c r="Q846" t="s">
        <v>2039</v>
      </c>
      <c r="R846" t="s">
        <v>2040</v>
      </c>
      <c r="S846" s="10">
        <f t="shared" si="56"/>
        <v>27105.125</v>
      </c>
      <c r="T846" s="12">
        <f t="shared" si="55"/>
        <v>27105.424999999999</v>
      </c>
    </row>
    <row r="847" spans="1:20" x14ac:dyDescent="0.35">
      <c r="A847">
        <v>845</v>
      </c>
      <c r="B847" s="4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6">
        <f t="shared" si="53"/>
        <v>197.54935622317598</v>
      </c>
      <c r="P847">
        <f t="shared" si="54"/>
        <v>101.98449039881831</v>
      </c>
      <c r="Q847" t="s">
        <v>2035</v>
      </c>
      <c r="R847" t="s">
        <v>2036</v>
      </c>
      <c r="S847" s="10">
        <f t="shared" si="56"/>
        <v>27335.620833333334</v>
      </c>
      <c r="T847" s="12">
        <f t="shared" si="55"/>
        <v>27339.320833333335</v>
      </c>
    </row>
    <row r="848" spans="1:20" x14ac:dyDescent="0.35">
      <c r="A848">
        <v>846</v>
      </c>
      <c r="B848" s="4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6">
        <f t="shared" si="53"/>
        <v>508.5</v>
      </c>
      <c r="P848">
        <f t="shared" si="54"/>
        <v>105.9375</v>
      </c>
      <c r="Q848" t="s">
        <v>2035</v>
      </c>
      <c r="R848" t="s">
        <v>2036</v>
      </c>
      <c r="S848" s="10">
        <f t="shared" si="56"/>
        <v>27342.320833333335</v>
      </c>
      <c r="T848" s="12">
        <f t="shared" si="55"/>
        <v>27345.920833333334</v>
      </c>
    </row>
    <row r="849" spans="1:20" x14ac:dyDescent="0.35">
      <c r="A849">
        <v>847</v>
      </c>
      <c r="B849" s="4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6">
        <f t="shared" si="53"/>
        <v>237.74468085106383</v>
      </c>
      <c r="P849">
        <f t="shared" si="54"/>
        <v>101.58181818181818</v>
      </c>
      <c r="Q849" t="s">
        <v>2031</v>
      </c>
      <c r="R849" t="s">
        <v>2032</v>
      </c>
      <c r="S849" s="10">
        <f t="shared" si="56"/>
        <v>27322.825000000001</v>
      </c>
      <c r="T849" s="12">
        <f t="shared" si="55"/>
        <v>27323.125</v>
      </c>
    </row>
    <row r="850" spans="1:20" x14ac:dyDescent="0.35">
      <c r="A850">
        <v>848</v>
      </c>
      <c r="B850" s="4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6">
        <f t="shared" si="53"/>
        <v>338.46875</v>
      </c>
      <c r="P850">
        <f t="shared" si="54"/>
        <v>62.970930232558139</v>
      </c>
      <c r="Q850" t="s">
        <v>2039</v>
      </c>
      <c r="R850" t="s">
        <v>2042</v>
      </c>
      <c r="S850" s="10">
        <f t="shared" si="56"/>
        <v>27046.220833333333</v>
      </c>
      <c r="T850" s="12">
        <f t="shared" si="55"/>
        <v>27047.120833333334</v>
      </c>
    </row>
    <row r="851" spans="1:20" x14ac:dyDescent="0.35">
      <c r="A851">
        <v>849</v>
      </c>
      <c r="B851" s="4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6">
        <f t="shared" si="53"/>
        <v>133.08955223880596</v>
      </c>
      <c r="P851">
        <f t="shared" si="54"/>
        <v>29.045602605863191</v>
      </c>
      <c r="Q851" t="s">
        <v>2033</v>
      </c>
      <c r="R851" t="s">
        <v>2043</v>
      </c>
      <c r="S851" s="10">
        <f t="shared" si="56"/>
        <v>27106.924999999999</v>
      </c>
      <c r="T851" s="12">
        <f t="shared" si="55"/>
        <v>27107.224999999999</v>
      </c>
    </row>
    <row r="852" spans="1:20" x14ac:dyDescent="0.35">
      <c r="A852">
        <v>850</v>
      </c>
      <c r="B852" s="4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6">
        <f t="shared" si="53"/>
        <v>1</v>
      </c>
      <c r="P852">
        <f t="shared" si="54"/>
        <v>1</v>
      </c>
      <c r="Q852" t="s">
        <v>2033</v>
      </c>
      <c r="R852" t="s">
        <v>2034</v>
      </c>
      <c r="S852" s="10">
        <f t="shared" si="56"/>
        <v>27098.724999999999</v>
      </c>
      <c r="T852" s="12">
        <f t="shared" si="55"/>
        <v>27100.224999999999</v>
      </c>
    </row>
    <row r="853" spans="1:20" ht="31" x14ac:dyDescent="0.35">
      <c r="A853">
        <v>851</v>
      </c>
      <c r="B853" s="4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6">
        <f t="shared" si="53"/>
        <v>207.79999999999998</v>
      </c>
      <c r="P853">
        <f t="shared" si="54"/>
        <v>77.924999999999997</v>
      </c>
      <c r="Q853" t="s">
        <v>2033</v>
      </c>
      <c r="R853" t="s">
        <v>2041</v>
      </c>
      <c r="S853" s="10">
        <f t="shared" si="56"/>
        <v>27115.220833333333</v>
      </c>
      <c r="T853" s="12">
        <f t="shared" si="55"/>
        <v>27118.520833333332</v>
      </c>
    </row>
    <row r="854" spans="1:20" ht="31" x14ac:dyDescent="0.35">
      <c r="A854">
        <v>852</v>
      </c>
      <c r="B854" s="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6">
        <f t="shared" si="53"/>
        <v>51.122448979591837</v>
      </c>
      <c r="P854">
        <f t="shared" si="54"/>
        <v>80.806451612903231</v>
      </c>
      <c r="Q854" t="s">
        <v>2048</v>
      </c>
      <c r="R854" t="s">
        <v>2049</v>
      </c>
      <c r="S854" s="10">
        <f t="shared" si="56"/>
        <v>27086.120833333334</v>
      </c>
      <c r="T854" s="12">
        <f t="shared" si="55"/>
        <v>27087.120833333334</v>
      </c>
    </row>
    <row r="855" spans="1:20" x14ac:dyDescent="0.35">
      <c r="A855">
        <v>853</v>
      </c>
      <c r="B855" s="4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6">
        <f t="shared" si="53"/>
        <v>652.05847953216369</v>
      </c>
      <c r="P855">
        <f t="shared" si="54"/>
        <v>76.006816632583508</v>
      </c>
      <c r="Q855" t="s">
        <v>2033</v>
      </c>
      <c r="R855" t="s">
        <v>2043</v>
      </c>
      <c r="S855" s="10">
        <f t="shared" si="56"/>
        <v>27083.520833333332</v>
      </c>
      <c r="T855" s="12">
        <f t="shared" si="55"/>
        <v>27084.020833333332</v>
      </c>
    </row>
    <row r="856" spans="1:20" ht="31" x14ac:dyDescent="0.35">
      <c r="A856">
        <v>854</v>
      </c>
      <c r="B856" s="4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6">
        <f t="shared" si="53"/>
        <v>113.63099415204678</v>
      </c>
      <c r="P856">
        <f t="shared" si="54"/>
        <v>72.993613824192337</v>
      </c>
      <c r="Q856" t="s">
        <v>2045</v>
      </c>
      <c r="R856" t="s">
        <v>2051</v>
      </c>
      <c r="S856" s="10">
        <f t="shared" si="56"/>
        <v>27390.825000000001</v>
      </c>
      <c r="T856" s="12">
        <f t="shared" si="55"/>
        <v>27393.525000000001</v>
      </c>
    </row>
    <row r="857" spans="1:20" x14ac:dyDescent="0.35">
      <c r="A857">
        <v>855</v>
      </c>
      <c r="B857" s="4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6">
        <f t="shared" si="53"/>
        <v>102.37606837606839</v>
      </c>
      <c r="P857">
        <f t="shared" si="54"/>
        <v>53</v>
      </c>
      <c r="Q857" t="s">
        <v>2037</v>
      </c>
      <c r="R857" t="s">
        <v>2038</v>
      </c>
      <c r="S857" s="10">
        <f t="shared" si="56"/>
        <v>27083.320833333335</v>
      </c>
      <c r="T857" s="12">
        <f t="shared" si="55"/>
        <v>27086.420833333334</v>
      </c>
    </row>
    <row r="858" spans="1:20" x14ac:dyDescent="0.35">
      <c r="A858">
        <v>856</v>
      </c>
      <c r="B858" s="4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6">
        <f t="shared" si="53"/>
        <v>356.58333333333331</v>
      </c>
      <c r="P858">
        <f t="shared" si="54"/>
        <v>54.164556962025316</v>
      </c>
      <c r="Q858" t="s">
        <v>2031</v>
      </c>
      <c r="R858" t="s">
        <v>2032</v>
      </c>
      <c r="S858" s="10">
        <f t="shared" si="56"/>
        <v>27114.420833333334</v>
      </c>
      <c r="T858" s="12">
        <f t="shared" si="55"/>
        <v>27116.120833333334</v>
      </c>
    </row>
    <row r="859" spans="1:20" ht="31" x14ac:dyDescent="0.35">
      <c r="A859">
        <v>857</v>
      </c>
      <c r="B859" s="4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6">
        <f t="shared" si="53"/>
        <v>139.86792452830187</v>
      </c>
      <c r="P859">
        <f t="shared" si="54"/>
        <v>32.946666666666665</v>
      </c>
      <c r="Q859" t="s">
        <v>2039</v>
      </c>
      <c r="R859" t="s">
        <v>2050</v>
      </c>
      <c r="S859" s="10">
        <f t="shared" si="56"/>
        <v>27106.525000000001</v>
      </c>
      <c r="T859" s="12">
        <f t="shared" si="55"/>
        <v>27108.825000000001</v>
      </c>
    </row>
    <row r="860" spans="1:20" ht="31" x14ac:dyDescent="0.35">
      <c r="A860">
        <v>858</v>
      </c>
      <c r="B860" s="4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6">
        <f t="shared" si="53"/>
        <v>69.45</v>
      </c>
      <c r="P860">
        <f t="shared" si="54"/>
        <v>79.371428571428567</v>
      </c>
      <c r="Q860" t="s">
        <v>2031</v>
      </c>
      <c r="R860" t="s">
        <v>2032</v>
      </c>
      <c r="S860" s="10">
        <f t="shared" si="56"/>
        <v>27333.220833333333</v>
      </c>
      <c r="T860" s="12">
        <f t="shared" si="55"/>
        <v>27333.920833333334</v>
      </c>
    </row>
    <row r="861" spans="1:20" ht="31" x14ac:dyDescent="0.35">
      <c r="A861">
        <v>859</v>
      </c>
      <c r="B861" s="4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6">
        <f t="shared" si="53"/>
        <v>35.534246575342465</v>
      </c>
      <c r="P861">
        <f t="shared" si="54"/>
        <v>41.174603174603178</v>
      </c>
      <c r="Q861" t="s">
        <v>2037</v>
      </c>
      <c r="R861" t="s">
        <v>2038</v>
      </c>
      <c r="S861" s="10">
        <f t="shared" si="56"/>
        <v>27145.525000000001</v>
      </c>
      <c r="T861" s="12">
        <f t="shared" si="55"/>
        <v>27147.320833333335</v>
      </c>
    </row>
    <row r="862" spans="1:20" ht="31" x14ac:dyDescent="0.35">
      <c r="A862">
        <v>860</v>
      </c>
      <c r="B862" s="4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6">
        <f t="shared" si="53"/>
        <v>251.65</v>
      </c>
      <c r="P862">
        <f t="shared" si="54"/>
        <v>77.430769230769229</v>
      </c>
      <c r="Q862" t="s">
        <v>2035</v>
      </c>
      <c r="R862" t="s">
        <v>2044</v>
      </c>
      <c r="S862" s="10">
        <f t="shared" si="56"/>
        <v>27363.625</v>
      </c>
      <c r="T862" s="12">
        <f t="shared" si="55"/>
        <v>27364.625</v>
      </c>
    </row>
    <row r="863" spans="1:20" x14ac:dyDescent="0.35">
      <c r="A863">
        <v>861</v>
      </c>
      <c r="B863" s="4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6">
        <f t="shared" si="53"/>
        <v>105.87500000000001</v>
      </c>
      <c r="P863">
        <f t="shared" si="54"/>
        <v>57.159509202453989</v>
      </c>
      <c r="Q863" t="s">
        <v>2037</v>
      </c>
      <c r="R863" t="s">
        <v>2038</v>
      </c>
      <c r="S863" s="10">
        <f t="shared" si="56"/>
        <v>27037.920833333334</v>
      </c>
      <c r="T863" s="12">
        <f t="shared" si="55"/>
        <v>27038.720833333333</v>
      </c>
    </row>
    <row r="864" spans="1:20" x14ac:dyDescent="0.35">
      <c r="A864">
        <v>862</v>
      </c>
      <c r="B864" s="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6">
        <f t="shared" si="53"/>
        <v>187.42857142857144</v>
      </c>
      <c r="P864">
        <f t="shared" si="54"/>
        <v>77.17647058823529</v>
      </c>
      <c r="Q864" t="s">
        <v>2037</v>
      </c>
      <c r="R864" t="s">
        <v>2038</v>
      </c>
      <c r="S864" s="10">
        <f t="shared" si="56"/>
        <v>27087.720833333333</v>
      </c>
      <c r="T864" s="12">
        <f t="shared" si="55"/>
        <v>27088.120833333334</v>
      </c>
    </row>
    <row r="865" spans="1:20" x14ac:dyDescent="0.35">
      <c r="A865">
        <v>863</v>
      </c>
      <c r="B865" s="4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6">
        <f t="shared" si="53"/>
        <v>386.78571428571428</v>
      </c>
      <c r="P865">
        <f t="shared" si="54"/>
        <v>24.953917050691246</v>
      </c>
      <c r="Q865" t="s">
        <v>2039</v>
      </c>
      <c r="R865" t="s">
        <v>2058</v>
      </c>
      <c r="S865" s="10">
        <f t="shared" si="56"/>
        <v>27229.320833333335</v>
      </c>
      <c r="T865" s="12">
        <f t="shared" si="55"/>
        <v>27231.620833333334</v>
      </c>
    </row>
    <row r="866" spans="1:20" x14ac:dyDescent="0.35">
      <c r="A866">
        <v>864</v>
      </c>
      <c r="B866" s="4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6">
        <f t="shared" si="53"/>
        <v>347.07142857142856</v>
      </c>
      <c r="P866">
        <f t="shared" si="54"/>
        <v>97.18</v>
      </c>
      <c r="Q866" t="s">
        <v>2039</v>
      </c>
      <c r="R866" t="s">
        <v>2050</v>
      </c>
      <c r="S866" s="10">
        <f t="shared" si="56"/>
        <v>27272.220833333333</v>
      </c>
      <c r="T866" s="12">
        <f t="shared" si="55"/>
        <v>27272.720833333333</v>
      </c>
    </row>
    <row r="867" spans="1:20" x14ac:dyDescent="0.35">
      <c r="A867">
        <v>865</v>
      </c>
      <c r="B867" s="4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6">
        <f t="shared" si="53"/>
        <v>185.82098765432099</v>
      </c>
      <c r="P867">
        <f t="shared" si="54"/>
        <v>46.000916870415651</v>
      </c>
      <c r="Q867" t="s">
        <v>2037</v>
      </c>
      <c r="R867" t="s">
        <v>2038</v>
      </c>
      <c r="S867" s="10">
        <f t="shared" si="56"/>
        <v>27201.820833333335</v>
      </c>
      <c r="T867" s="12">
        <f t="shared" si="55"/>
        <v>27202.720833333333</v>
      </c>
    </row>
    <row r="868" spans="1:20" x14ac:dyDescent="0.35">
      <c r="A868">
        <v>866</v>
      </c>
      <c r="B868" s="4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6">
        <f t="shared" si="53"/>
        <v>43.241247264770237</v>
      </c>
      <c r="P868">
        <f t="shared" si="54"/>
        <v>88.023385300668153</v>
      </c>
      <c r="Q868" t="s">
        <v>2052</v>
      </c>
      <c r="R868" t="s">
        <v>2053</v>
      </c>
      <c r="S868" s="10">
        <f t="shared" si="56"/>
        <v>27079.220833333333</v>
      </c>
      <c r="T868" s="12">
        <f t="shared" si="55"/>
        <v>27079.320833333335</v>
      </c>
    </row>
    <row r="869" spans="1:20" ht="31" x14ac:dyDescent="0.35">
      <c r="A869">
        <v>867</v>
      </c>
      <c r="B869" s="4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6">
        <f t="shared" si="53"/>
        <v>162.4375</v>
      </c>
      <c r="P869">
        <f t="shared" si="54"/>
        <v>25.99</v>
      </c>
      <c r="Q869" t="s">
        <v>2031</v>
      </c>
      <c r="R869" t="s">
        <v>2032</v>
      </c>
      <c r="S869" s="10">
        <f t="shared" si="56"/>
        <v>27350.320833333335</v>
      </c>
      <c r="T869" s="12">
        <f t="shared" si="55"/>
        <v>27350.920833333334</v>
      </c>
    </row>
    <row r="870" spans="1:20" x14ac:dyDescent="0.35">
      <c r="A870">
        <v>868</v>
      </c>
      <c r="B870" s="4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6">
        <f t="shared" si="53"/>
        <v>184.84285714285716</v>
      </c>
      <c r="P870">
        <f t="shared" si="54"/>
        <v>102.69047619047619</v>
      </c>
      <c r="Q870" t="s">
        <v>2037</v>
      </c>
      <c r="R870" t="s">
        <v>2038</v>
      </c>
      <c r="S870" s="10">
        <f t="shared" si="56"/>
        <v>27168.020833333332</v>
      </c>
      <c r="T870" s="12">
        <f t="shared" si="55"/>
        <v>27169.120833333334</v>
      </c>
    </row>
    <row r="871" spans="1:20" x14ac:dyDescent="0.35">
      <c r="A871">
        <v>869</v>
      </c>
      <c r="B871" s="4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6">
        <f t="shared" si="53"/>
        <v>23.703520691785052</v>
      </c>
      <c r="P871">
        <f t="shared" si="54"/>
        <v>72.958174904942965</v>
      </c>
      <c r="Q871" t="s">
        <v>2039</v>
      </c>
      <c r="R871" t="s">
        <v>2042</v>
      </c>
      <c r="S871" s="10">
        <f t="shared" si="56"/>
        <v>27047.120833333334</v>
      </c>
      <c r="T871" s="12">
        <f t="shared" si="55"/>
        <v>27048.520833333332</v>
      </c>
    </row>
    <row r="872" spans="1:20" x14ac:dyDescent="0.35">
      <c r="A872">
        <v>870</v>
      </c>
      <c r="B872" s="4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6">
        <f t="shared" si="53"/>
        <v>89.870129870129873</v>
      </c>
      <c r="P872">
        <f t="shared" si="54"/>
        <v>57.190082644628099</v>
      </c>
      <c r="Q872" t="s">
        <v>2037</v>
      </c>
      <c r="R872" t="s">
        <v>2038</v>
      </c>
      <c r="S872" s="10">
        <f t="shared" si="56"/>
        <v>27236.120833333334</v>
      </c>
      <c r="T872" s="12">
        <f t="shared" si="55"/>
        <v>27238.620833333334</v>
      </c>
    </row>
    <row r="873" spans="1:20" ht="31" x14ac:dyDescent="0.35">
      <c r="A873">
        <v>871</v>
      </c>
      <c r="B873" s="4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6">
        <f t="shared" si="53"/>
        <v>272.6041958041958</v>
      </c>
      <c r="P873">
        <f t="shared" si="54"/>
        <v>84.013793103448279</v>
      </c>
      <c r="Q873" t="s">
        <v>2037</v>
      </c>
      <c r="R873" t="s">
        <v>2038</v>
      </c>
      <c r="S873" s="10">
        <f t="shared" si="56"/>
        <v>27316.120833333334</v>
      </c>
      <c r="T873" s="12">
        <f t="shared" si="55"/>
        <v>27317.924999999999</v>
      </c>
    </row>
    <row r="874" spans="1:20" x14ac:dyDescent="0.35">
      <c r="A874">
        <v>872</v>
      </c>
      <c r="B874" s="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6">
        <f t="shared" si="53"/>
        <v>170.04255319148936</v>
      </c>
      <c r="P874">
        <f t="shared" si="54"/>
        <v>98.666666666666671</v>
      </c>
      <c r="Q874" t="s">
        <v>2039</v>
      </c>
      <c r="R874" t="s">
        <v>2061</v>
      </c>
      <c r="S874" s="10">
        <f t="shared" si="56"/>
        <v>27346.720833333333</v>
      </c>
      <c r="T874" s="12">
        <f t="shared" si="55"/>
        <v>27347.220833333333</v>
      </c>
    </row>
    <row r="875" spans="1:20" x14ac:dyDescent="0.35">
      <c r="A875">
        <v>873</v>
      </c>
      <c r="B875" s="4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6">
        <f t="shared" si="53"/>
        <v>188.28503562945369</v>
      </c>
      <c r="P875">
        <f t="shared" si="54"/>
        <v>42.007419183889773</v>
      </c>
      <c r="Q875" t="s">
        <v>2052</v>
      </c>
      <c r="R875" t="s">
        <v>2053</v>
      </c>
      <c r="S875" s="10">
        <f t="shared" si="56"/>
        <v>27176.825000000001</v>
      </c>
      <c r="T875" s="12">
        <f t="shared" si="55"/>
        <v>27177.325000000001</v>
      </c>
    </row>
    <row r="876" spans="1:20" x14ac:dyDescent="0.35">
      <c r="A876">
        <v>874</v>
      </c>
      <c r="B876" s="4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6">
        <f t="shared" si="53"/>
        <v>346.93532338308455</v>
      </c>
      <c r="P876">
        <f t="shared" si="54"/>
        <v>32.002753556677376</v>
      </c>
      <c r="Q876" t="s">
        <v>2052</v>
      </c>
      <c r="R876" t="s">
        <v>2053</v>
      </c>
      <c r="S876" s="10">
        <f t="shared" si="56"/>
        <v>27041.220833333333</v>
      </c>
      <c r="T876" s="12">
        <f t="shared" si="55"/>
        <v>27045.020833333332</v>
      </c>
    </row>
    <row r="877" spans="1:20" x14ac:dyDescent="0.35">
      <c r="A877">
        <v>875</v>
      </c>
      <c r="B877" s="4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6">
        <f t="shared" si="53"/>
        <v>69.177215189873422</v>
      </c>
      <c r="P877">
        <f t="shared" si="54"/>
        <v>81.567164179104481</v>
      </c>
      <c r="Q877" t="s">
        <v>2033</v>
      </c>
      <c r="R877" t="s">
        <v>2034</v>
      </c>
      <c r="S877" s="10">
        <f t="shared" si="56"/>
        <v>27067.724999999999</v>
      </c>
      <c r="T877" s="12">
        <f t="shared" si="55"/>
        <v>27067.825000000001</v>
      </c>
    </row>
    <row r="878" spans="1:20" ht="31" x14ac:dyDescent="0.35">
      <c r="A878">
        <v>876</v>
      </c>
      <c r="B878" s="4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6">
        <f t="shared" si="53"/>
        <v>25.433734939759034</v>
      </c>
      <c r="P878">
        <f t="shared" si="54"/>
        <v>37.035087719298247</v>
      </c>
      <c r="Q878" t="s">
        <v>2052</v>
      </c>
      <c r="R878" t="s">
        <v>2053</v>
      </c>
      <c r="S878" s="10">
        <f t="shared" si="56"/>
        <v>27374.520833333332</v>
      </c>
      <c r="T878" s="12">
        <f t="shared" si="55"/>
        <v>27376.920833333334</v>
      </c>
    </row>
    <row r="879" spans="1:20" x14ac:dyDescent="0.35">
      <c r="A879">
        <v>877</v>
      </c>
      <c r="B879" s="4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6">
        <f t="shared" si="53"/>
        <v>77.400977995110026</v>
      </c>
      <c r="P879">
        <f t="shared" si="54"/>
        <v>103.033360455655</v>
      </c>
      <c r="Q879" t="s">
        <v>2031</v>
      </c>
      <c r="R879" t="s">
        <v>2032</v>
      </c>
      <c r="S879" s="10">
        <f t="shared" si="56"/>
        <v>27269.820833333335</v>
      </c>
      <c r="T879" s="12">
        <f t="shared" si="55"/>
        <v>27269.920833333334</v>
      </c>
    </row>
    <row r="880" spans="1:20" x14ac:dyDescent="0.35">
      <c r="A880">
        <v>878</v>
      </c>
      <c r="B880" s="4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6">
        <f t="shared" si="53"/>
        <v>37.481481481481481</v>
      </c>
      <c r="P880">
        <f t="shared" si="54"/>
        <v>84.333333333333329</v>
      </c>
      <c r="Q880" t="s">
        <v>2033</v>
      </c>
      <c r="R880" t="s">
        <v>2055</v>
      </c>
      <c r="S880" s="10">
        <f t="shared" si="56"/>
        <v>27396.625</v>
      </c>
      <c r="T880" s="12">
        <f t="shared" si="55"/>
        <v>27399.025000000001</v>
      </c>
    </row>
    <row r="881" spans="1:20" x14ac:dyDescent="0.35">
      <c r="A881">
        <v>879</v>
      </c>
      <c r="B881" s="4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6">
        <f t="shared" si="53"/>
        <v>543.79999999999995</v>
      </c>
      <c r="P881">
        <f t="shared" si="54"/>
        <v>102.60377358490567</v>
      </c>
      <c r="Q881" t="s">
        <v>2045</v>
      </c>
      <c r="R881" t="s">
        <v>2046</v>
      </c>
      <c r="S881" s="10">
        <f t="shared" si="56"/>
        <v>27290.924999999999</v>
      </c>
      <c r="T881" s="12">
        <f t="shared" si="55"/>
        <v>27291.825000000001</v>
      </c>
    </row>
    <row r="882" spans="1:20" x14ac:dyDescent="0.35">
      <c r="A882">
        <v>880</v>
      </c>
      <c r="B882" s="4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6">
        <f t="shared" si="53"/>
        <v>228.52189349112427</v>
      </c>
      <c r="P882">
        <f t="shared" si="54"/>
        <v>79.992129246064621</v>
      </c>
      <c r="Q882" t="s">
        <v>2033</v>
      </c>
      <c r="R882" t="s">
        <v>2041</v>
      </c>
      <c r="S882" s="10">
        <f t="shared" si="56"/>
        <v>27378.820833333335</v>
      </c>
      <c r="T882" s="12">
        <f t="shared" si="55"/>
        <v>27379.020833333332</v>
      </c>
    </row>
    <row r="883" spans="1:20" x14ac:dyDescent="0.35">
      <c r="A883">
        <v>881</v>
      </c>
      <c r="B883" s="4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6">
        <f t="shared" si="53"/>
        <v>38.948339483394832</v>
      </c>
      <c r="P883">
        <f t="shared" si="54"/>
        <v>70.055309734513273</v>
      </c>
      <c r="Q883" t="s">
        <v>2037</v>
      </c>
      <c r="R883" t="s">
        <v>2038</v>
      </c>
      <c r="S883" s="10">
        <f t="shared" si="56"/>
        <v>27231.520833333332</v>
      </c>
      <c r="T883" s="12">
        <f t="shared" si="55"/>
        <v>27234.420833333334</v>
      </c>
    </row>
    <row r="884" spans="1:20" x14ac:dyDescent="0.35">
      <c r="A884">
        <v>882</v>
      </c>
      <c r="B884" s="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6">
        <f t="shared" si="53"/>
        <v>370</v>
      </c>
      <c r="P884">
        <f t="shared" si="54"/>
        <v>37</v>
      </c>
      <c r="Q884" t="s">
        <v>2037</v>
      </c>
      <c r="R884" t="s">
        <v>2038</v>
      </c>
      <c r="S884" s="10">
        <f t="shared" si="56"/>
        <v>27214.625</v>
      </c>
      <c r="T884" s="12">
        <f t="shared" si="55"/>
        <v>27215.025000000001</v>
      </c>
    </row>
    <row r="885" spans="1:20" ht="31" x14ac:dyDescent="0.35">
      <c r="A885">
        <v>883</v>
      </c>
      <c r="B885" s="4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6">
        <f t="shared" si="53"/>
        <v>237.91176470588232</v>
      </c>
      <c r="P885">
        <f t="shared" si="54"/>
        <v>41.911917098445599</v>
      </c>
      <c r="Q885" t="s">
        <v>2039</v>
      </c>
      <c r="R885" t="s">
        <v>2050</v>
      </c>
      <c r="S885" s="10">
        <f t="shared" si="56"/>
        <v>27044.420833333334</v>
      </c>
      <c r="T885" s="12">
        <f t="shared" si="55"/>
        <v>27048.020833333332</v>
      </c>
    </row>
    <row r="886" spans="1:20" x14ac:dyDescent="0.35">
      <c r="A886">
        <v>884</v>
      </c>
      <c r="B886" s="4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6">
        <f t="shared" si="53"/>
        <v>64.036299765807954</v>
      </c>
      <c r="P886">
        <f t="shared" si="54"/>
        <v>57.992576882290564</v>
      </c>
      <c r="Q886" t="s">
        <v>2037</v>
      </c>
      <c r="R886" t="s">
        <v>2038</v>
      </c>
      <c r="S886" s="10">
        <f t="shared" si="56"/>
        <v>27188.420833333334</v>
      </c>
      <c r="T886" s="12">
        <f t="shared" si="55"/>
        <v>27188.620833333334</v>
      </c>
    </row>
    <row r="887" spans="1:20" x14ac:dyDescent="0.35">
      <c r="A887">
        <v>885</v>
      </c>
      <c r="B887" s="4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6">
        <f t="shared" si="53"/>
        <v>118.27777777777777</v>
      </c>
      <c r="P887">
        <f t="shared" si="54"/>
        <v>40.942307692307693</v>
      </c>
      <c r="Q887" t="s">
        <v>2037</v>
      </c>
      <c r="R887" t="s">
        <v>2038</v>
      </c>
      <c r="S887" s="10">
        <f t="shared" si="56"/>
        <v>27045.620833333334</v>
      </c>
      <c r="T887" s="12">
        <f t="shared" si="55"/>
        <v>27049.420833333334</v>
      </c>
    </row>
    <row r="888" spans="1:20" x14ac:dyDescent="0.35">
      <c r="A888">
        <v>886</v>
      </c>
      <c r="B888" s="4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6">
        <f t="shared" si="53"/>
        <v>84.824037184594957</v>
      </c>
      <c r="P888">
        <f t="shared" si="54"/>
        <v>69.9972602739726</v>
      </c>
      <c r="Q888" t="s">
        <v>2033</v>
      </c>
      <c r="R888" t="s">
        <v>2043</v>
      </c>
      <c r="S888" s="10">
        <f t="shared" si="56"/>
        <v>27053.720833333333</v>
      </c>
      <c r="T888" s="12">
        <f t="shared" si="55"/>
        <v>27055.520833333332</v>
      </c>
    </row>
    <row r="889" spans="1:20" ht="31" x14ac:dyDescent="0.35">
      <c r="A889">
        <v>887</v>
      </c>
      <c r="B889" s="4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6">
        <f t="shared" si="53"/>
        <v>29.346153846153843</v>
      </c>
      <c r="P889">
        <f t="shared" si="54"/>
        <v>73.838709677419359</v>
      </c>
      <c r="Q889" t="s">
        <v>2037</v>
      </c>
      <c r="R889" t="s">
        <v>2038</v>
      </c>
      <c r="S889" s="10">
        <f t="shared" si="56"/>
        <v>27232.320833333335</v>
      </c>
      <c r="T889" s="12">
        <f t="shared" si="55"/>
        <v>27237.020833333332</v>
      </c>
    </row>
    <row r="890" spans="1:20" ht="31" x14ac:dyDescent="0.35">
      <c r="A890">
        <v>888</v>
      </c>
      <c r="B890" s="4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6">
        <f t="shared" si="53"/>
        <v>209.89655172413794</v>
      </c>
      <c r="P890">
        <f t="shared" si="54"/>
        <v>41.979310344827589</v>
      </c>
      <c r="Q890" t="s">
        <v>2037</v>
      </c>
      <c r="R890" t="s">
        <v>2038</v>
      </c>
      <c r="S890" s="10">
        <f t="shared" si="56"/>
        <v>27295.720833333333</v>
      </c>
      <c r="T890" s="12">
        <f t="shared" si="55"/>
        <v>27297.620833333334</v>
      </c>
    </row>
    <row r="891" spans="1:20" x14ac:dyDescent="0.35">
      <c r="A891">
        <v>889</v>
      </c>
      <c r="B891" s="4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6">
        <f t="shared" si="53"/>
        <v>169.78571428571431</v>
      </c>
      <c r="P891">
        <f t="shared" si="54"/>
        <v>77.93442622950819</v>
      </c>
      <c r="Q891" t="s">
        <v>2033</v>
      </c>
      <c r="R891" t="s">
        <v>2041</v>
      </c>
      <c r="S891" s="10">
        <f t="shared" si="56"/>
        <v>27183.120833333334</v>
      </c>
      <c r="T891" s="12">
        <f t="shared" si="55"/>
        <v>27183.820833333335</v>
      </c>
    </row>
    <row r="892" spans="1:20" x14ac:dyDescent="0.35">
      <c r="A892">
        <v>890</v>
      </c>
      <c r="B892" s="4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6">
        <f t="shared" si="53"/>
        <v>115.95907738095239</v>
      </c>
      <c r="P892">
        <f t="shared" si="54"/>
        <v>106.01972789115646</v>
      </c>
      <c r="Q892" t="s">
        <v>2033</v>
      </c>
      <c r="R892" t="s">
        <v>2043</v>
      </c>
      <c r="S892" s="10">
        <f t="shared" si="56"/>
        <v>27376.120833333334</v>
      </c>
      <c r="T892" s="12">
        <f t="shared" si="55"/>
        <v>27376.220833333333</v>
      </c>
    </row>
    <row r="893" spans="1:20" ht="31" x14ac:dyDescent="0.35">
      <c r="A893">
        <v>891</v>
      </c>
      <c r="B893" s="4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6">
        <f t="shared" si="53"/>
        <v>258.59999999999997</v>
      </c>
      <c r="P893">
        <f t="shared" si="54"/>
        <v>47.018181818181816</v>
      </c>
      <c r="Q893" t="s">
        <v>2039</v>
      </c>
      <c r="R893" t="s">
        <v>2040</v>
      </c>
      <c r="S893" s="10">
        <f t="shared" si="56"/>
        <v>27100.125</v>
      </c>
      <c r="T893" s="12">
        <f t="shared" si="55"/>
        <v>27104.525000000001</v>
      </c>
    </row>
    <row r="894" spans="1:20" x14ac:dyDescent="0.35">
      <c r="A894">
        <v>892</v>
      </c>
      <c r="B894" s="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6">
        <f t="shared" si="53"/>
        <v>230.58333333333331</v>
      </c>
      <c r="P894">
        <f t="shared" si="54"/>
        <v>76.016483516483518</v>
      </c>
      <c r="Q894" t="s">
        <v>2045</v>
      </c>
      <c r="R894" t="s">
        <v>2057</v>
      </c>
      <c r="S894" s="10">
        <f t="shared" si="56"/>
        <v>27044.020833333332</v>
      </c>
      <c r="T894" s="12">
        <f t="shared" si="55"/>
        <v>27048.120833333334</v>
      </c>
    </row>
    <row r="895" spans="1:20" x14ac:dyDescent="0.35">
      <c r="A895">
        <v>893</v>
      </c>
      <c r="B895" s="4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6">
        <f t="shared" si="53"/>
        <v>128.21428571428572</v>
      </c>
      <c r="P895">
        <f t="shared" si="54"/>
        <v>54.120603015075375</v>
      </c>
      <c r="Q895" t="s">
        <v>2039</v>
      </c>
      <c r="R895" t="s">
        <v>2040</v>
      </c>
      <c r="S895" s="10">
        <f t="shared" si="56"/>
        <v>27229.120833333334</v>
      </c>
      <c r="T895" s="12">
        <f t="shared" si="55"/>
        <v>27229.520833333332</v>
      </c>
    </row>
    <row r="896" spans="1:20" x14ac:dyDescent="0.35">
      <c r="A896">
        <v>894</v>
      </c>
      <c r="B896" s="4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6">
        <f t="shared" si="53"/>
        <v>188.70588235294116</v>
      </c>
      <c r="P896">
        <f t="shared" si="54"/>
        <v>57.285714285714285</v>
      </c>
      <c r="Q896" t="s">
        <v>2039</v>
      </c>
      <c r="R896" t="s">
        <v>2058</v>
      </c>
      <c r="S896" s="10">
        <f t="shared" si="56"/>
        <v>27158.720833333333</v>
      </c>
      <c r="T896" s="12">
        <f t="shared" si="55"/>
        <v>27161.720833333333</v>
      </c>
    </row>
    <row r="897" spans="1:20" ht="31" x14ac:dyDescent="0.35">
      <c r="A897">
        <v>895</v>
      </c>
      <c r="B897" s="4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6">
        <f t="shared" si="53"/>
        <v>6.9511889862327907</v>
      </c>
      <c r="P897">
        <f t="shared" si="54"/>
        <v>103.81308411214954</v>
      </c>
      <c r="Q897" t="s">
        <v>2037</v>
      </c>
      <c r="R897" t="s">
        <v>2038</v>
      </c>
      <c r="S897" s="10">
        <f t="shared" si="56"/>
        <v>27325.525000000001</v>
      </c>
      <c r="T897" s="12">
        <f t="shared" si="55"/>
        <v>27326.424999999999</v>
      </c>
    </row>
    <row r="898" spans="1:20" ht="31" x14ac:dyDescent="0.35">
      <c r="A898">
        <v>896</v>
      </c>
      <c r="B898" s="4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6">
        <f t="shared" si="53"/>
        <v>774.43434343434342</v>
      </c>
      <c r="P898">
        <f t="shared" si="54"/>
        <v>105.02602739726028</v>
      </c>
      <c r="Q898" t="s">
        <v>2031</v>
      </c>
      <c r="R898" t="s">
        <v>2032</v>
      </c>
      <c r="S898" s="10">
        <f t="shared" si="56"/>
        <v>27085.920833333334</v>
      </c>
      <c r="T898" s="12">
        <f t="shared" si="55"/>
        <v>27086.220833333333</v>
      </c>
    </row>
    <row r="899" spans="1:20" x14ac:dyDescent="0.35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6">
        <f t="shared" ref="O899:O962" si="57">MAX(0,(E899/D899)*100)</f>
        <v>27.693181818181817</v>
      </c>
      <c r="P899">
        <f t="shared" ref="P899:P962" si="58">IFERROR(AVERAGE(E899/G899),0)</f>
        <v>90.259259259259252</v>
      </c>
      <c r="Q899" t="s">
        <v>2037</v>
      </c>
      <c r="R899" t="s">
        <v>2038</v>
      </c>
      <c r="S899" s="10">
        <f t="shared" si="56"/>
        <v>27370.420833333334</v>
      </c>
      <c r="T899" s="12">
        <f t="shared" ref="T899:T962" si="59">K899/864000+DATE(1970,1,1)</f>
        <v>27370.620833333334</v>
      </c>
    </row>
    <row r="900" spans="1:20" x14ac:dyDescent="0.35">
      <c r="A900">
        <v>898</v>
      </c>
      <c r="B900" s="4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6">
        <f t="shared" si="57"/>
        <v>52.479620323841424</v>
      </c>
      <c r="P900">
        <f t="shared" si="58"/>
        <v>76.978705978705975</v>
      </c>
      <c r="Q900" t="s">
        <v>2039</v>
      </c>
      <c r="R900" t="s">
        <v>2040</v>
      </c>
      <c r="S900" s="10">
        <f t="shared" si="56"/>
        <v>27393.625</v>
      </c>
      <c r="T900" s="12">
        <f t="shared" si="59"/>
        <v>27394.224999999999</v>
      </c>
    </row>
    <row r="901" spans="1:20" x14ac:dyDescent="0.35">
      <c r="A901">
        <v>899</v>
      </c>
      <c r="B901" s="4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6">
        <f t="shared" si="57"/>
        <v>407.09677419354841</v>
      </c>
      <c r="P901">
        <f t="shared" si="58"/>
        <v>102.60162601626017</v>
      </c>
      <c r="Q901" t="s">
        <v>2033</v>
      </c>
      <c r="R901" t="s">
        <v>2056</v>
      </c>
      <c r="S901" s="10">
        <f t="shared" si="56"/>
        <v>27167.520833333332</v>
      </c>
      <c r="T901" s="12">
        <f t="shared" si="59"/>
        <v>27169.320833333335</v>
      </c>
    </row>
    <row r="902" spans="1:20" x14ac:dyDescent="0.35">
      <c r="A902">
        <v>900</v>
      </c>
      <c r="B902" s="4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6">
        <f t="shared" si="57"/>
        <v>2</v>
      </c>
      <c r="P902">
        <f t="shared" si="58"/>
        <v>2</v>
      </c>
      <c r="Q902" t="s">
        <v>2035</v>
      </c>
      <c r="R902" t="s">
        <v>2036</v>
      </c>
      <c r="S902" s="10">
        <f t="shared" si="56"/>
        <v>27202.220833333333</v>
      </c>
      <c r="T902" s="12">
        <f t="shared" si="59"/>
        <v>27202.320833333335</v>
      </c>
    </row>
    <row r="903" spans="1:20" x14ac:dyDescent="0.35">
      <c r="A903">
        <v>901</v>
      </c>
      <c r="B903" s="4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6">
        <f t="shared" si="57"/>
        <v>156.17857142857144</v>
      </c>
      <c r="P903">
        <f t="shared" si="58"/>
        <v>55.0062893081761</v>
      </c>
      <c r="Q903" t="s">
        <v>2033</v>
      </c>
      <c r="R903" t="s">
        <v>2034</v>
      </c>
      <c r="S903" s="10">
        <f t="shared" si="56"/>
        <v>27341.920833333334</v>
      </c>
      <c r="T903" s="12">
        <f t="shared" si="59"/>
        <v>27345.220833333333</v>
      </c>
    </row>
    <row r="904" spans="1:20" x14ac:dyDescent="0.35">
      <c r="A904">
        <v>902</v>
      </c>
      <c r="B904" s="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6">
        <f t="shared" si="57"/>
        <v>252.42857142857144</v>
      </c>
      <c r="P904">
        <f t="shared" si="58"/>
        <v>32.127272727272725</v>
      </c>
      <c r="Q904" t="s">
        <v>2035</v>
      </c>
      <c r="R904" t="s">
        <v>2036</v>
      </c>
      <c r="S904" s="10">
        <f t="shared" si="56"/>
        <v>27252.025000000001</v>
      </c>
      <c r="T904" s="12">
        <f t="shared" si="59"/>
        <v>27256.224999999999</v>
      </c>
    </row>
    <row r="905" spans="1:20" ht="31" x14ac:dyDescent="0.35">
      <c r="A905">
        <v>903</v>
      </c>
      <c r="B905" s="4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6">
        <f t="shared" si="57"/>
        <v>1.729268292682927</v>
      </c>
      <c r="P905">
        <f t="shared" si="58"/>
        <v>50.642857142857146</v>
      </c>
      <c r="Q905" t="s">
        <v>2045</v>
      </c>
      <c r="R905" t="s">
        <v>2046</v>
      </c>
      <c r="S905" s="10">
        <f t="shared" si="56"/>
        <v>27115.520833333332</v>
      </c>
      <c r="T905" s="12">
        <f t="shared" si="59"/>
        <v>27117.020833333332</v>
      </c>
    </row>
    <row r="906" spans="1:20" x14ac:dyDescent="0.35">
      <c r="A906">
        <v>904</v>
      </c>
      <c r="B906" s="4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6">
        <f t="shared" si="57"/>
        <v>12.230769230769232</v>
      </c>
      <c r="P906">
        <f t="shared" si="58"/>
        <v>49.6875</v>
      </c>
      <c r="Q906" t="s">
        <v>2045</v>
      </c>
      <c r="R906" t="s">
        <v>2054</v>
      </c>
      <c r="S906" s="10">
        <f t="shared" si="56"/>
        <v>27130.720833333333</v>
      </c>
      <c r="T906" s="12">
        <f t="shared" si="59"/>
        <v>27131.120833333334</v>
      </c>
    </row>
    <row r="907" spans="1:20" x14ac:dyDescent="0.35">
      <c r="A907">
        <v>905</v>
      </c>
      <c r="B907" s="4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6">
        <f t="shared" si="57"/>
        <v>163.98734177215189</v>
      </c>
      <c r="P907">
        <f t="shared" si="58"/>
        <v>54.894067796610166</v>
      </c>
      <c r="Q907" t="s">
        <v>2037</v>
      </c>
      <c r="R907" t="s">
        <v>2038</v>
      </c>
      <c r="S907" s="10">
        <f t="shared" si="56"/>
        <v>27165.720833333333</v>
      </c>
      <c r="T907" s="12">
        <f t="shared" si="59"/>
        <v>27166.020833333332</v>
      </c>
    </row>
    <row r="908" spans="1:20" ht="31" x14ac:dyDescent="0.35">
      <c r="A908">
        <v>906</v>
      </c>
      <c r="B908" s="4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6">
        <f t="shared" si="57"/>
        <v>162.98181818181817</v>
      </c>
      <c r="P908">
        <f t="shared" si="58"/>
        <v>46.931937172774866</v>
      </c>
      <c r="Q908" t="s">
        <v>2039</v>
      </c>
      <c r="R908" t="s">
        <v>2040</v>
      </c>
      <c r="S908" s="10">
        <f t="shared" si="56"/>
        <v>27298.920833333334</v>
      </c>
      <c r="T908" s="12">
        <f t="shared" si="59"/>
        <v>27302.520833333332</v>
      </c>
    </row>
    <row r="909" spans="1:20" x14ac:dyDescent="0.35">
      <c r="A909">
        <v>907</v>
      </c>
      <c r="B909" s="4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6">
        <f t="shared" si="57"/>
        <v>20.252747252747252</v>
      </c>
      <c r="P909">
        <f t="shared" si="58"/>
        <v>44.951219512195124</v>
      </c>
      <c r="Q909" t="s">
        <v>2037</v>
      </c>
      <c r="R909" t="s">
        <v>2038</v>
      </c>
      <c r="S909" s="10">
        <f t="shared" ref="S909:S972" si="60">J:J/864000+DATE(1970,1,1)</f>
        <v>27078.120833333334</v>
      </c>
      <c r="T909" s="12">
        <f t="shared" si="59"/>
        <v>27078.820833333335</v>
      </c>
    </row>
    <row r="910" spans="1:20" x14ac:dyDescent="0.35">
      <c r="A910">
        <v>908</v>
      </c>
      <c r="B910" s="4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6">
        <f t="shared" si="57"/>
        <v>319.24083769633506</v>
      </c>
      <c r="P910">
        <f t="shared" si="58"/>
        <v>30.99898322318251</v>
      </c>
      <c r="Q910" t="s">
        <v>2048</v>
      </c>
      <c r="R910" t="s">
        <v>2049</v>
      </c>
      <c r="S910" s="10">
        <f t="shared" si="60"/>
        <v>27115.220833333333</v>
      </c>
      <c r="T910" s="12">
        <f t="shared" si="59"/>
        <v>27116.320833333335</v>
      </c>
    </row>
    <row r="911" spans="1:20" x14ac:dyDescent="0.35">
      <c r="A911">
        <v>909</v>
      </c>
      <c r="B911" s="4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6">
        <f t="shared" si="57"/>
        <v>478.94444444444446</v>
      </c>
      <c r="P911">
        <f t="shared" si="58"/>
        <v>107.7625</v>
      </c>
      <c r="Q911" t="s">
        <v>2037</v>
      </c>
      <c r="R911" t="s">
        <v>2038</v>
      </c>
      <c r="S911" s="10">
        <f t="shared" si="60"/>
        <v>27337.620833333334</v>
      </c>
      <c r="T911" s="12">
        <f t="shared" si="59"/>
        <v>27340.320833333335</v>
      </c>
    </row>
    <row r="912" spans="1:20" x14ac:dyDescent="0.35">
      <c r="A912">
        <v>910</v>
      </c>
      <c r="B912" s="4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6">
        <f t="shared" si="57"/>
        <v>19.556634304207122</v>
      </c>
      <c r="P912">
        <f t="shared" si="58"/>
        <v>102.07770270270271</v>
      </c>
      <c r="Q912" t="s">
        <v>2037</v>
      </c>
      <c r="R912" t="s">
        <v>2038</v>
      </c>
      <c r="S912" s="10">
        <f t="shared" si="60"/>
        <v>27214.724999999999</v>
      </c>
      <c r="T912" s="12">
        <f t="shared" si="59"/>
        <v>27214.825000000001</v>
      </c>
    </row>
    <row r="913" spans="1:20" x14ac:dyDescent="0.35">
      <c r="A913">
        <v>911</v>
      </c>
      <c r="B913" s="4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6">
        <f t="shared" si="57"/>
        <v>198.94827586206895</v>
      </c>
      <c r="P913">
        <f t="shared" si="58"/>
        <v>24.976190476190474</v>
      </c>
      <c r="Q913" t="s">
        <v>2035</v>
      </c>
      <c r="R913" t="s">
        <v>2036</v>
      </c>
      <c r="S913" s="10">
        <f t="shared" si="60"/>
        <v>27383.820833333335</v>
      </c>
      <c r="T913" s="12">
        <f t="shared" si="59"/>
        <v>27384.020833333332</v>
      </c>
    </row>
    <row r="914" spans="1:20" x14ac:dyDescent="0.35">
      <c r="A914">
        <v>912</v>
      </c>
      <c r="B914" s="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6">
        <f t="shared" si="57"/>
        <v>795</v>
      </c>
      <c r="P914">
        <f t="shared" si="58"/>
        <v>79.944134078212286</v>
      </c>
      <c r="Q914" t="s">
        <v>2039</v>
      </c>
      <c r="R914" t="s">
        <v>2042</v>
      </c>
      <c r="S914" s="10">
        <f t="shared" si="60"/>
        <v>27127.820833333335</v>
      </c>
      <c r="T914" s="12">
        <f t="shared" si="59"/>
        <v>27129.120833333334</v>
      </c>
    </row>
    <row r="915" spans="1:20" x14ac:dyDescent="0.35">
      <c r="A915">
        <v>913</v>
      </c>
      <c r="B915" s="4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6">
        <f t="shared" si="57"/>
        <v>50.621082621082621</v>
      </c>
      <c r="P915">
        <f t="shared" si="58"/>
        <v>67.946462715105156</v>
      </c>
      <c r="Q915" t="s">
        <v>2039</v>
      </c>
      <c r="R915" t="s">
        <v>2042</v>
      </c>
      <c r="S915" s="10">
        <f t="shared" si="60"/>
        <v>27371.820833333335</v>
      </c>
      <c r="T915" s="12">
        <f t="shared" si="59"/>
        <v>27373.120833333334</v>
      </c>
    </row>
    <row r="916" spans="1:20" x14ac:dyDescent="0.35">
      <c r="A916">
        <v>914</v>
      </c>
      <c r="B916" s="4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6">
        <f t="shared" si="57"/>
        <v>57.4375</v>
      </c>
      <c r="P916">
        <f t="shared" si="58"/>
        <v>26.070921985815602</v>
      </c>
      <c r="Q916" t="s">
        <v>2037</v>
      </c>
      <c r="R916" t="s">
        <v>2038</v>
      </c>
      <c r="S916" s="10">
        <f t="shared" si="60"/>
        <v>27161.120833333334</v>
      </c>
      <c r="T916" s="12">
        <f t="shared" si="59"/>
        <v>27162.320833333335</v>
      </c>
    </row>
    <row r="917" spans="1:20" x14ac:dyDescent="0.35">
      <c r="A917">
        <v>915</v>
      </c>
      <c r="B917" s="4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6">
        <f t="shared" si="57"/>
        <v>155.62827640984909</v>
      </c>
      <c r="P917">
        <f t="shared" si="58"/>
        <v>105.0032154340836</v>
      </c>
      <c r="Q917" t="s">
        <v>2039</v>
      </c>
      <c r="R917" t="s">
        <v>2058</v>
      </c>
      <c r="S917" s="10">
        <f t="shared" si="60"/>
        <v>27309.720833333333</v>
      </c>
      <c r="T917" s="12">
        <f t="shared" si="59"/>
        <v>27310.620833333334</v>
      </c>
    </row>
    <row r="918" spans="1:20" ht="31" x14ac:dyDescent="0.35">
      <c r="A918">
        <v>916</v>
      </c>
      <c r="B918" s="4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6">
        <f t="shared" si="57"/>
        <v>36.297297297297298</v>
      </c>
      <c r="P918">
        <f t="shared" si="58"/>
        <v>25.826923076923077</v>
      </c>
      <c r="Q918" t="s">
        <v>2052</v>
      </c>
      <c r="R918" t="s">
        <v>2053</v>
      </c>
      <c r="S918" s="10">
        <f t="shared" si="60"/>
        <v>27211.224999999999</v>
      </c>
      <c r="T918" s="12">
        <f t="shared" si="59"/>
        <v>27212.125</v>
      </c>
    </row>
    <row r="919" spans="1:20" x14ac:dyDescent="0.35">
      <c r="A919">
        <v>917</v>
      </c>
      <c r="B919" s="4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6">
        <f t="shared" si="57"/>
        <v>58.25</v>
      </c>
      <c r="P919">
        <f t="shared" si="58"/>
        <v>77.666666666666671</v>
      </c>
      <c r="Q919" t="s">
        <v>2039</v>
      </c>
      <c r="R919" t="s">
        <v>2050</v>
      </c>
      <c r="S919" s="10">
        <f t="shared" si="60"/>
        <v>27084.320833333335</v>
      </c>
      <c r="T919" s="12">
        <f t="shared" si="59"/>
        <v>27086.720833333333</v>
      </c>
    </row>
    <row r="920" spans="1:20" x14ac:dyDescent="0.35">
      <c r="A920">
        <v>918</v>
      </c>
      <c r="B920" s="4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6">
        <f t="shared" si="57"/>
        <v>237.39473684210526</v>
      </c>
      <c r="P920">
        <f t="shared" si="58"/>
        <v>57.82692307692308</v>
      </c>
      <c r="Q920" t="s">
        <v>2045</v>
      </c>
      <c r="R920" t="s">
        <v>2054</v>
      </c>
      <c r="S920" s="10">
        <f t="shared" si="60"/>
        <v>27123.820833333335</v>
      </c>
      <c r="T920" s="12">
        <f t="shared" si="59"/>
        <v>27124.920833333334</v>
      </c>
    </row>
    <row r="921" spans="1:20" x14ac:dyDescent="0.35">
      <c r="A921">
        <v>919</v>
      </c>
      <c r="B921" s="4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6">
        <f t="shared" si="57"/>
        <v>58.75</v>
      </c>
      <c r="P921">
        <f t="shared" si="58"/>
        <v>92.955555555555549</v>
      </c>
      <c r="Q921" t="s">
        <v>2037</v>
      </c>
      <c r="R921" t="s">
        <v>2038</v>
      </c>
      <c r="S921" s="10">
        <f t="shared" si="60"/>
        <v>27314.320833333335</v>
      </c>
      <c r="T921" s="12">
        <f t="shared" si="59"/>
        <v>27317.525000000001</v>
      </c>
    </row>
    <row r="922" spans="1:20" x14ac:dyDescent="0.35">
      <c r="A922">
        <v>920</v>
      </c>
      <c r="B922" s="4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6">
        <f t="shared" si="57"/>
        <v>182.56603773584905</v>
      </c>
      <c r="P922">
        <f t="shared" si="58"/>
        <v>37.945098039215686</v>
      </c>
      <c r="Q922" t="s">
        <v>2039</v>
      </c>
      <c r="R922" t="s">
        <v>2047</v>
      </c>
      <c r="S922" s="10">
        <f t="shared" si="60"/>
        <v>27362.424999999999</v>
      </c>
      <c r="T922" s="12">
        <f t="shared" si="59"/>
        <v>27364.424999999999</v>
      </c>
    </row>
    <row r="923" spans="1:20" x14ac:dyDescent="0.35">
      <c r="A923">
        <v>921</v>
      </c>
      <c r="B923" s="4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6">
        <f t="shared" si="57"/>
        <v>0.75436408977556113</v>
      </c>
      <c r="P923">
        <f t="shared" si="58"/>
        <v>31.842105263157894</v>
      </c>
      <c r="Q923" t="s">
        <v>2035</v>
      </c>
      <c r="R923" t="s">
        <v>2036</v>
      </c>
      <c r="S923" s="10">
        <f t="shared" si="60"/>
        <v>27107.224999999999</v>
      </c>
      <c r="T923" s="12">
        <f t="shared" si="59"/>
        <v>27108.625</v>
      </c>
    </row>
    <row r="924" spans="1:20" x14ac:dyDescent="0.35">
      <c r="A924">
        <v>922</v>
      </c>
      <c r="B924" s="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6">
        <f t="shared" si="57"/>
        <v>175.95330739299609</v>
      </c>
      <c r="P924">
        <f t="shared" si="58"/>
        <v>40</v>
      </c>
      <c r="Q924" t="s">
        <v>2033</v>
      </c>
      <c r="R924" t="s">
        <v>2060</v>
      </c>
      <c r="S924" s="10">
        <f t="shared" si="60"/>
        <v>27356.424999999999</v>
      </c>
      <c r="T924" s="12">
        <f t="shared" si="59"/>
        <v>27357.325000000001</v>
      </c>
    </row>
    <row r="925" spans="1:20" x14ac:dyDescent="0.35">
      <c r="A925">
        <v>923</v>
      </c>
      <c r="B925" s="4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6">
        <f t="shared" si="57"/>
        <v>237.88235294117646</v>
      </c>
      <c r="P925">
        <f t="shared" si="58"/>
        <v>101.1</v>
      </c>
      <c r="Q925" t="s">
        <v>2037</v>
      </c>
      <c r="R925" t="s">
        <v>2038</v>
      </c>
      <c r="S925" s="10">
        <f t="shared" si="60"/>
        <v>27049.420833333334</v>
      </c>
      <c r="T925" s="12">
        <f t="shared" si="59"/>
        <v>27049.520833333332</v>
      </c>
    </row>
    <row r="926" spans="1:20" x14ac:dyDescent="0.35">
      <c r="A926">
        <v>924</v>
      </c>
      <c r="B926" s="4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6">
        <f t="shared" si="57"/>
        <v>488.05076142131981</v>
      </c>
      <c r="P926">
        <f t="shared" si="58"/>
        <v>84.006989951944078</v>
      </c>
      <c r="Q926" t="s">
        <v>2037</v>
      </c>
      <c r="R926" t="s">
        <v>2038</v>
      </c>
      <c r="S926" s="10">
        <f t="shared" si="60"/>
        <v>27389.020833333332</v>
      </c>
      <c r="T926" s="12">
        <f t="shared" si="59"/>
        <v>27390.125</v>
      </c>
    </row>
    <row r="927" spans="1:20" ht="31" x14ac:dyDescent="0.35">
      <c r="A927">
        <v>925</v>
      </c>
      <c r="B927" s="4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6">
        <f t="shared" si="57"/>
        <v>224.06666666666669</v>
      </c>
      <c r="P927">
        <f t="shared" si="58"/>
        <v>103.41538461538461</v>
      </c>
      <c r="Q927" t="s">
        <v>2037</v>
      </c>
      <c r="R927" t="s">
        <v>2038</v>
      </c>
      <c r="S927" s="10">
        <f t="shared" si="60"/>
        <v>27312.120833333334</v>
      </c>
      <c r="T927" s="12">
        <f t="shared" si="59"/>
        <v>27313.320833333335</v>
      </c>
    </row>
    <row r="928" spans="1:20" x14ac:dyDescent="0.35">
      <c r="A928">
        <v>926</v>
      </c>
      <c r="B928" s="4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6">
        <f t="shared" si="57"/>
        <v>18.126436781609197</v>
      </c>
      <c r="P928">
        <f t="shared" si="58"/>
        <v>105.13333333333334</v>
      </c>
      <c r="Q928" t="s">
        <v>2031</v>
      </c>
      <c r="R928" t="s">
        <v>2032</v>
      </c>
      <c r="S928" s="10">
        <f t="shared" si="60"/>
        <v>27262.320833333335</v>
      </c>
      <c r="T928" s="12">
        <f t="shared" si="59"/>
        <v>27262.720833333333</v>
      </c>
    </row>
    <row r="929" spans="1:20" x14ac:dyDescent="0.35">
      <c r="A929">
        <v>927</v>
      </c>
      <c r="B929" s="4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6">
        <f t="shared" si="57"/>
        <v>45.847222222222221</v>
      </c>
      <c r="P929">
        <f t="shared" si="58"/>
        <v>89.21621621621621</v>
      </c>
      <c r="Q929" t="s">
        <v>2037</v>
      </c>
      <c r="R929" t="s">
        <v>2038</v>
      </c>
      <c r="S929" s="10">
        <f t="shared" si="60"/>
        <v>27122.320833333335</v>
      </c>
      <c r="T929" s="12">
        <f t="shared" si="59"/>
        <v>27125.220833333333</v>
      </c>
    </row>
    <row r="930" spans="1:20" x14ac:dyDescent="0.35">
      <c r="A930">
        <v>928</v>
      </c>
      <c r="B930" s="4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6">
        <f t="shared" si="57"/>
        <v>117.31541218637993</v>
      </c>
      <c r="P930">
        <f t="shared" si="58"/>
        <v>51.995234312946785</v>
      </c>
      <c r="Q930" t="s">
        <v>2035</v>
      </c>
      <c r="R930" t="s">
        <v>2036</v>
      </c>
      <c r="S930" s="10">
        <f t="shared" si="60"/>
        <v>27175.825000000001</v>
      </c>
      <c r="T930" s="12">
        <f t="shared" si="59"/>
        <v>27176.724999999999</v>
      </c>
    </row>
    <row r="931" spans="1:20" x14ac:dyDescent="0.35">
      <c r="A931">
        <v>929</v>
      </c>
      <c r="B931" s="4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6">
        <f t="shared" si="57"/>
        <v>217.30909090909088</v>
      </c>
      <c r="P931">
        <f t="shared" si="58"/>
        <v>64.956521739130437</v>
      </c>
      <c r="Q931" t="s">
        <v>2037</v>
      </c>
      <c r="R931" t="s">
        <v>2038</v>
      </c>
      <c r="S931" s="10">
        <f t="shared" si="60"/>
        <v>27297.920833333334</v>
      </c>
      <c r="T931" s="12">
        <f t="shared" si="59"/>
        <v>27299.320833333335</v>
      </c>
    </row>
    <row r="932" spans="1:20" x14ac:dyDescent="0.35">
      <c r="A932">
        <v>930</v>
      </c>
      <c r="B932" s="4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6">
        <f t="shared" si="57"/>
        <v>112.28571428571428</v>
      </c>
      <c r="P932">
        <f t="shared" si="58"/>
        <v>46.235294117647058</v>
      </c>
      <c r="Q932" t="s">
        <v>2037</v>
      </c>
      <c r="R932" t="s">
        <v>2038</v>
      </c>
      <c r="S932" s="10">
        <f t="shared" si="60"/>
        <v>27218.125</v>
      </c>
      <c r="T932" s="12">
        <f t="shared" si="59"/>
        <v>27218.825000000001</v>
      </c>
    </row>
    <row r="933" spans="1:20" x14ac:dyDescent="0.35">
      <c r="A933">
        <v>931</v>
      </c>
      <c r="B933" s="4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6">
        <f t="shared" si="57"/>
        <v>72.51898734177216</v>
      </c>
      <c r="P933">
        <f t="shared" si="58"/>
        <v>51.151785714285715</v>
      </c>
      <c r="Q933" t="s">
        <v>2037</v>
      </c>
      <c r="R933" t="s">
        <v>2038</v>
      </c>
      <c r="S933" s="10">
        <f t="shared" si="60"/>
        <v>27193.920833333334</v>
      </c>
      <c r="T933" s="12">
        <f t="shared" si="59"/>
        <v>27194.120833333334</v>
      </c>
    </row>
    <row r="934" spans="1:20" x14ac:dyDescent="0.35">
      <c r="A934">
        <v>932</v>
      </c>
      <c r="B934" s="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6">
        <f t="shared" si="57"/>
        <v>212.30434782608697</v>
      </c>
      <c r="P934">
        <f t="shared" si="58"/>
        <v>33.909722222222221</v>
      </c>
      <c r="Q934" t="s">
        <v>2033</v>
      </c>
      <c r="R934" t="s">
        <v>2034</v>
      </c>
      <c r="S934" s="10">
        <f t="shared" si="60"/>
        <v>27183.020833333332</v>
      </c>
      <c r="T934" s="12">
        <f t="shared" si="59"/>
        <v>27183.320833333335</v>
      </c>
    </row>
    <row r="935" spans="1:20" x14ac:dyDescent="0.35">
      <c r="A935">
        <v>933</v>
      </c>
      <c r="B935" s="4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6">
        <f t="shared" si="57"/>
        <v>239.74657534246577</v>
      </c>
      <c r="P935">
        <f t="shared" si="58"/>
        <v>92.016298633017882</v>
      </c>
      <c r="Q935" t="s">
        <v>2037</v>
      </c>
      <c r="R935" t="s">
        <v>2038</v>
      </c>
      <c r="S935" s="10">
        <f t="shared" si="60"/>
        <v>27149.320833333335</v>
      </c>
      <c r="T935" s="12">
        <f t="shared" si="59"/>
        <v>27150.620833333334</v>
      </c>
    </row>
    <row r="936" spans="1:20" x14ac:dyDescent="0.35">
      <c r="A936">
        <v>934</v>
      </c>
      <c r="B936" s="4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6">
        <f t="shared" si="57"/>
        <v>181.93548387096774</v>
      </c>
      <c r="P936">
        <f t="shared" si="58"/>
        <v>107.42857142857143</v>
      </c>
      <c r="Q936" t="s">
        <v>2037</v>
      </c>
      <c r="R936" t="s">
        <v>2038</v>
      </c>
      <c r="S936" s="10">
        <f t="shared" si="60"/>
        <v>27254.325000000001</v>
      </c>
      <c r="T936" s="12">
        <f t="shared" si="59"/>
        <v>27254.924999999999</v>
      </c>
    </row>
    <row r="937" spans="1:20" ht="31" x14ac:dyDescent="0.35">
      <c r="A937">
        <v>935</v>
      </c>
      <c r="B937" s="4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6">
        <f t="shared" si="57"/>
        <v>164.13114754098362</v>
      </c>
      <c r="P937">
        <f t="shared" si="58"/>
        <v>75.848484848484844</v>
      </c>
      <c r="Q937" t="s">
        <v>2037</v>
      </c>
      <c r="R937" t="s">
        <v>2038</v>
      </c>
      <c r="S937" s="10">
        <f t="shared" si="60"/>
        <v>27233.020833333332</v>
      </c>
      <c r="T937" s="12">
        <f t="shared" si="59"/>
        <v>27233.720833333333</v>
      </c>
    </row>
    <row r="938" spans="1:20" x14ac:dyDescent="0.35">
      <c r="A938">
        <v>936</v>
      </c>
      <c r="B938" s="4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6">
        <f t="shared" si="57"/>
        <v>1.6375968992248062</v>
      </c>
      <c r="P938">
        <f t="shared" si="58"/>
        <v>80.476190476190482</v>
      </c>
      <c r="Q938" t="s">
        <v>2037</v>
      </c>
      <c r="R938" t="s">
        <v>2038</v>
      </c>
      <c r="S938" s="10">
        <f t="shared" si="60"/>
        <v>27378.920833333334</v>
      </c>
      <c r="T938" s="12">
        <f t="shared" si="59"/>
        <v>27379.220833333333</v>
      </c>
    </row>
    <row r="939" spans="1:20" x14ac:dyDescent="0.35">
      <c r="A939">
        <v>937</v>
      </c>
      <c r="B939" s="4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6">
        <f t="shared" si="57"/>
        <v>49.64385964912281</v>
      </c>
      <c r="P939">
        <f t="shared" si="58"/>
        <v>86.978483606557376</v>
      </c>
      <c r="Q939" t="s">
        <v>2039</v>
      </c>
      <c r="R939" t="s">
        <v>2040</v>
      </c>
      <c r="S939" s="10">
        <f t="shared" si="60"/>
        <v>27245.525000000001</v>
      </c>
      <c r="T939" s="12">
        <f t="shared" si="59"/>
        <v>27246.424999999999</v>
      </c>
    </row>
    <row r="940" spans="1:20" x14ac:dyDescent="0.35">
      <c r="A940">
        <v>938</v>
      </c>
      <c r="B940" s="4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6">
        <f t="shared" si="57"/>
        <v>109.70652173913042</v>
      </c>
      <c r="P940">
        <f t="shared" si="58"/>
        <v>105.13541666666667</v>
      </c>
      <c r="Q940" t="s">
        <v>2045</v>
      </c>
      <c r="R940" t="s">
        <v>2051</v>
      </c>
      <c r="S940" s="10">
        <f t="shared" si="60"/>
        <v>27338.420833333334</v>
      </c>
      <c r="T940" s="12">
        <f t="shared" si="59"/>
        <v>27342.020833333332</v>
      </c>
    </row>
    <row r="941" spans="1:20" ht="31" x14ac:dyDescent="0.35">
      <c r="A941">
        <v>939</v>
      </c>
      <c r="B941" s="4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6">
        <f t="shared" si="57"/>
        <v>49.217948717948715</v>
      </c>
      <c r="P941">
        <f t="shared" si="58"/>
        <v>57.298507462686565</v>
      </c>
      <c r="Q941" t="s">
        <v>2048</v>
      </c>
      <c r="R941" t="s">
        <v>2049</v>
      </c>
      <c r="S941" s="10">
        <f t="shared" si="60"/>
        <v>27079.120833333334</v>
      </c>
      <c r="T941" s="12">
        <f t="shared" si="59"/>
        <v>27080.820833333335</v>
      </c>
    </row>
    <row r="942" spans="1:20" x14ac:dyDescent="0.35">
      <c r="A942">
        <v>940</v>
      </c>
      <c r="B942" s="4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6">
        <f t="shared" si="57"/>
        <v>62.232323232323225</v>
      </c>
      <c r="P942">
        <f t="shared" si="58"/>
        <v>93.348484848484844</v>
      </c>
      <c r="Q942" t="s">
        <v>2035</v>
      </c>
      <c r="R942" t="s">
        <v>2036</v>
      </c>
      <c r="S942" s="10">
        <f t="shared" si="60"/>
        <v>27136.525000000001</v>
      </c>
      <c r="T942" s="12">
        <f t="shared" si="59"/>
        <v>27138.724999999999</v>
      </c>
    </row>
    <row r="943" spans="1:20" x14ac:dyDescent="0.35">
      <c r="A943">
        <v>941</v>
      </c>
      <c r="B943" s="4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6">
        <f t="shared" si="57"/>
        <v>13.05813953488372</v>
      </c>
      <c r="P943">
        <f t="shared" si="58"/>
        <v>71.987179487179489</v>
      </c>
      <c r="Q943" t="s">
        <v>2037</v>
      </c>
      <c r="R943" t="s">
        <v>2038</v>
      </c>
      <c r="S943" s="10">
        <f t="shared" si="60"/>
        <v>27067.325000000001</v>
      </c>
      <c r="T943" s="12">
        <f t="shared" si="59"/>
        <v>27070.825000000001</v>
      </c>
    </row>
    <row r="944" spans="1:20" x14ac:dyDescent="0.35">
      <c r="A944">
        <v>942</v>
      </c>
      <c r="B944" s="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6">
        <f t="shared" si="57"/>
        <v>64.635416666666671</v>
      </c>
      <c r="P944">
        <f t="shared" si="58"/>
        <v>92.611940298507463</v>
      </c>
      <c r="Q944" t="s">
        <v>2037</v>
      </c>
      <c r="R944" t="s">
        <v>2038</v>
      </c>
      <c r="S944" s="10">
        <f t="shared" si="60"/>
        <v>27068.924999999999</v>
      </c>
      <c r="T944" s="12">
        <f t="shared" si="59"/>
        <v>27069.224999999999</v>
      </c>
    </row>
    <row r="945" spans="1:20" x14ac:dyDescent="0.35">
      <c r="A945">
        <v>943</v>
      </c>
      <c r="B945" s="4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6">
        <f t="shared" si="57"/>
        <v>159.58666666666667</v>
      </c>
      <c r="P945">
        <f t="shared" si="58"/>
        <v>104.99122807017544</v>
      </c>
      <c r="Q945" t="s">
        <v>2031</v>
      </c>
      <c r="R945" t="s">
        <v>2032</v>
      </c>
      <c r="S945" s="10">
        <f t="shared" si="60"/>
        <v>27202.720833333333</v>
      </c>
      <c r="T945" s="12">
        <f t="shared" si="59"/>
        <v>27206.220833333333</v>
      </c>
    </row>
    <row r="946" spans="1:20" x14ac:dyDescent="0.35">
      <c r="A946">
        <v>944</v>
      </c>
      <c r="B946" s="4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6">
        <f t="shared" si="57"/>
        <v>81.42</v>
      </c>
      <c r="P946">
        <f t="shared" si="58"/>
        <v>30.958174904942965</v>
      </c>
      <c r="Q946" t="s">
        <v>2052</v>
      </c>
      <c r="R946" t="s">
        <v>2053</v>
      </c>
      <c r="S946" s="10">
        <f t="shared" si="60"/>
        <v>27289.724999999999</v>
      </c>
      <c r="T946" s="12">
        <f t="shared" si="59"/>
        <v>27291.625</v>
      </c>
    </row>
    <row r="947" spans="1:20" x14ac:dyDescent="0.35">
      <c r="A947">
        <v>945</v>
      </c>
      <c r="B947" s="4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6">
        <f t="shared" si="57"/>
        <v>32.444767441860463</v>
      </c>
      <c r="P947">
        <f t="shared" si="58"/>
        <v>33.001182732111175</v>
      </c>
      <c r="Q947" t="s">
        <v>2052</v>
      </c>
      <c r="R947" t="s">
        <v>2053</v>
      </c>
      <c r="S947" s="10">
        <f t="shared" si="60"/>
        <v>27112.520833333332</v>
      </c>
      <c r="T947" s="12">
        <f t="shared" si="59"/>
        <v>27114.020833333332</v>
      </c>
    </row>
    <row r="948" spans="1:20" ht="31" x14ac:dyDescent="0.35">
      <c r="A948">
        <v>946</v>
      </c>
      <c r="B948" s="4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6">
        <f t="shared" si="57"/>
        <v>9.9141184124918666</v>
      </c>
      <c r="P948">
        <f t="shared" si="58"/>
        <v>84.187845303867405</v>
      </c>
      <c r="Q948" t="s">
        <v>2037</v>
      </c>
      <c r="R948" t="s">
        <v>2038</v>
      </c>
      <c r="S948" s="10">
        <f t="shared" si="60"/>
        <v>27083.120833333334</v>
      </c>
      <c r="T948" s="12">
        <f t="shared" si="59"/>
        <v>27083.320833333335</v>
      </c>
    </row>
    <row r="949" spans="1:20" x14ac:dyDescent="0.35">
      <c r="A949">
        <v>947</v>
      </c>
      <c r="B949" s="4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6">
        <f t="shared" si="57"/>
        <v>26.694444444444443</v>
      </c>
      <c r="P949">
        <f t="shared" si="58"/>
        <v>73.92307692307692</v>
      </c>
      <c r="Q949" t="s">
        <v>2037</v>
      </c>
      <c r="R949" t="s">
        <v>2038</v>
      </c>
      <c r="S949" s="10">
        <f t="shared" si="60"/>
        <v>27202.920833333334</v>
      </c>
      <c r="T949" s="12">
        <f t="shared" si="59"/>
        <v>27203.620833333334</v>
      </c>
    </row>
    <row r="950" spans="1:20" x14ac:dyDescent="0.35">
      <c r="A950">
        <v>948</v>
      </c>
      <c r="B950" s="4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6">
        <f t="shared" si="57"/>
        <v>62.957446808510639</v>
      </c>
      <c r="P950">
        <f t="shared" si="58"/>
        <v>36.987499999999997</v>
      </c>
      <c r="Q950" t="s">
        <v>2039</v>
      </c>
      <c r="R950" t="s">
        <v>2040</v>
      </c>
      <c r="S950" s="10">
        <f t="shared" si="60"/>
        <v>27210.625</v>
      </c>
      <c r="T950" s="12">
        <f t="shared" si="59"/>
        <v>27211.625</v>
      </c>
    </row>
    <row r="951" spans="1:20" ht="31" x14ac:dyDescent="0.35">
      <c r="A951">
        <v>949</v>
      </c>
      <c r="B951" s="4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6">
        <f t="shared" si="57"/>
        <v>161.35593220338984</v>
      </c>
      <c r="P951">
        <f t="shared" si="58"/>
        <v>46.896551724137929</v>
      </c>
      <c r="Q951" t="s">
        <v>2035</v>
      </c>
      <c r="R951" t="s">
        <v>2036</v>
      </c>
      <c r="S951" s="10">
        <f t="shared" si="60"/>
        <v>27223.320833333335</v>
      </c>
      <c r="T951" s="12">
        <f t="shared" si="59"/>
        <v>27225.220833333333</v>
      </c>
    </row>
    <row r="952" spans="1:20" x14ac:dyDescent="0.35">
      <c r="A952">
        <v>950</v>
      </c>
      <c r="B952" s="4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6">
        <f t="shared" si="57"/>
        <v>5</v>
      </c>
      <c r="P952">
        <f t="shared" si="58"/>
        <v>5</v>
      </c>
      <c r="Q952" t="s">
        <v>2037</v>
      </c>
      <c r="R952" t="s">
        <v>2038</v>
      </c>
      <c r="S952" s="10">
        <f t="shared" si="60"/>
        <v>27369.220833333333</v>
      </c>
      <c r="T952" s="12">
        <f t="shared" si="59"/>
        <v>27369.720833333333</v>
      </c>
    </row>
    <row r="953" spans="1:20" x14ac:dyDescent="0.35">
      <c r="A953">
        <v>951</v>
      </c>
      <c r="B953" s="4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6">
        <f t="shared" si="57"/>
        <v>1096.9379310344827</v>
      </c>
      <c r="P953">
        <f t="shared" si="58"/>
        <v>102.02437459910199</v>
      </c>
      <c r="Q953" t="s">
        <v>2033</v>
      </c>
      <c r="R953" t="s">
        <v>2034</v>
      </c>
      <c r="S953" s="10">
        <f t="shared" si="60"/>
        <v>27285.125</v>
      </c>
      <c r="T953" s="12">
        <f t="shared" si="59"/>
        <v>27285.224999999999</v>
      </c>
    </row>
    <row r="954" spans="1:20" x14ac:dyDescent="0.35">
      <c r="A954">
        <v>952</v>
      </c>
      <c r="B954" s="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6">
        <f t="shared" si="57"/>
        <v>70.094158075601371</v>
      </c>
      <c r="P954">
        <f t="shared" si="58"/>
        <v>45.007502206531335</v>
      </c>
      <c r="Q954" t="s">
        <v>2039</v>
      </c>
      <c r="R954" t="s">
        <v>2040</v>
      </c>
      <c r="S954" s="10">
        <f t="shared" si="60"/>
        <v>27271.220833333333</v>
      </c>
      <c r="T954" s="12">
        <f t="shared" si="59"/>
        <v>27272.620833333334</v>
      </c>
    </row>
    <row r="955" spans="1:20" ht="31" x14ac:dyDescent="0.35">
      <c r="A955">
        <v>953</v>
      </c>
      <c r="B955" s="4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6">
        <f t="shared" si="57"/>
        <v>60</v>
      </c>
      <c r="P955">
        <f t="shared" si="58"/>
        <v>94.285714285714292</v>
      </c>
      <c r="Q955" t="s">
        <v>2039</v>
      </c>
      <c r="R955" t="s">
        <v>2061</v>
      </c>
      <c r="S955" s="10">
        <f t="shared" si="60"/>
        <v>27247.924999999999</v>
      </c>
      <c r="T955" s="12">
        <f t="shared" si="59"/>
        <v>27251.525000000001</v>
      </c>
    </row>
    <row r="956" spans="1:20" x14ac:dyDescent="0.35">
      <c r="A956">
        <v>954</v>
      </c>
      <c r="B956" s="4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6">
        <f t="shared" si="57"/>
        <v>367.0985915492958</v>
      </c>
      <c r="P956">
        <f t="shared" si="58"/>
        <v>101.02325581395348</v>
      </c>
      <c r="Q956" t="s">
        <v>2035</v>
      </c>
      <c r="R956" t="s">
        <v>2036</v>
      </c>
      <c r="S956" s="10">
        <f t="shared" si="60"/>
        <v>27129.520833333332</v>
      </c>
      <c r="T956" s="12">
        <f t="shared" si="59"/>
        <v>27131.920833333334</v>
      </c>
    </row>
    <row r="957" spans="1:20" ht="31" x14ac:dyDescent="0.35">
      <c r="A957">
        <v>955</v>
      </c>
      <c r="B957" s="4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6">
        <f t="shared" si="57"/>
        <v>1109</v>
      </c>
      <c r="P957">
        <f t="shared" si="58"/>
        <v>97.037499999999994</v>
      </c>
      <c r="Q957" t="s">
        <v>2037</v>
      </c>
      <c r="R957" t="s">
        <v>2038</v>
      </c>
      <c r="S957" s="10">
        <f t="shared" si="60"/>
        <v>27135.924999999999</v>
      </c>
      <c r="T957" s="12">
        <f t="shared" si="59"/>
        <v>27136.125</v>
      </c>
    </row>
    <row r="958" spans="1:20" x14ac:dyDescent="0.35">
      <c r="A958">
        <v>956</v>
      </c>
      <c r="B958" s="4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6">
        <f t="shared" si="57"/>
        <v>19.028784648187631</v>
      </c>
      <c r="P958">
        <f t="shared" si="58"/>
        <v>43.00963855421687</v>
      </c>
      <c r="Q958" t="s">
        <v>2039</v>
      </c>
      <c r="R958" t="s">
        <v>2061</v>
      </c>
      <c r="S958" s="10">
        <f t="shared" si="60"/>
        <v>27248.125</v>
      </c>
      <c r="T958" s="12">
        <f t="shared" si="59"/>
        <v>27248.525000000001</v>
      </c>
    </row>
    <row r="959" spans="1:20" x14ac:dyDescent="0.35">
      <c r="A959">
        <v>957</v>
      </c>
      <c r="B959" s="4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6">
        <f t="shared" si="57"/>
        <v>126.87755102040816</v>
      </c>
      <c r="P959">
        <f t="shared" si="58"/>
        <v>94.916030534351151</v>
      </c>
      <c r="Q959" t="s">
        <v>2037</v>
      </c>
      <c r="R959" t="s">
        <v>2038</v>
      </c>
      <c r="S959" s="10">
        <f t="shared" si="60"/>
        <v>27107.625</v>
      </c>
      <c r="T959" s="12">
        <f t="shared" si="59"/>
        <v>27107.924999999999</v>
      </c>
    </row>
    <row r="960" spans="1:20" ht="31" x14ac:dyDescent="0.35">
      <c r="A960">
        <v>958</v>
      </c>
      <c r="B960" s="4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6">
        <f t="shared" si="57"/>
        <v>734.63636363636363</v>
      </c>
      <c r="P960">
        <f t="shared" si="58"/>
        <v>72.151785714285708</v>
      </c>
      <c r="Q960" t="s">
        <v>2039</v>
      </c>
      <c r="R960" t="s">
        <v>2047</v>
      </c>
      <c r="S960" s="10">
        <f t="shared" si="60"/>
        <v>27047.120833333334</v>
      </c>
      <c r="T960" s="12">
        <f t="shared" si="59"/>
        <v>27049.320833333335</v>
      </c>
    </row>
    <row r="961" spans="1:20" x14ac:dyDescent="0.35">
      <c r="A961">
        <v>959</v>
      </c>
      <c r="B961" s="4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6">
        <f t="shared" si="57"/>
        <v>4.5731034482758623</v>
      </c>
      <c r="P961">
        <f t="shared" si="58"/>
        <v>51.007692307692309</v>
      </c>
      <c r="Q961" t="s">
        <v>2045</v>
      </c>
      <c r="R961" t="s">
        <v>2057</v>
      </c>
      <c r="S961" s="10">
        <f t="shared" si="60"/>
        <v>27047.820833333335</v>
      </c>
      <c r="T961" s="12">
        <f t="shared" si="59"/>
        <v>27050.620833333334</v>
      </c>
    </row>
    <row r="962" spans="1:20" x14ac:dyDescent="0.35">
      <c r="A962">
        <v>960</v>
      </c>
      <c r="B962" s="4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6">
        <f t="shared" si="57"/>
        <v>85.054545454545448</v>
      </c>
      <c r="P962">
        <f t="shared" si="58"/>
        <v>85.054545454545448</v>
      </c>
      <c r="Q962" t="s">
        <v>2035</v>
      </c>
      <c r="R962" t="s">
        <v>2036</v>
      </c>
      <c r="S962" s="10">
        <f t="shared" si="60"/>
        <v>27252.924999999999</v>
      </c>
      <c r="T962" s="12">
        <f t="shared" si="59"/>
        <v>27256.620833333334</v>
      </c>
    </row>
    <row r="963" spans="1:20" ht="31" x14ac:dyDescent="0.35">
      <c r="A963">
        <v>961</v>
      </c>
      <c r="B963" s="4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6">
        <f t="shared" ref="O963:O1001" si="61">MAX(0,(E963/D963)*100)</f>
        <v>119.29824561403508</v>
      </c>
      <c r="P963">
        <f t="shared" ref="P963:P1001" si="62">IFERROR(AVERAGE(E963/G963),0)</f>
        <v>43.87096774193548</v>
      </c>
      <c r="Q963" t="s">
        <v>2045</v>
      </c>
      <c r="R963" t="s">
        <v>2057</v>
      </c>
      <c r="S963" s="10">
        <f t="shared" si="60"/>
        <v>27071.224999999999</v>
      </c>
      <c r="T963" s="12">
        <f t="shared" ref="T963:T1001" si="63">K963/864000+DATE(1970,1,1)</f>
        <v>27071.625</v>
      </c>
    </row>
    <row r="964" spans="1:20" x14ac:dyDescent="0.35">
      <c r="A964">
        <v>962</v>
      </c>
      <c r="B964" s="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6">
        <f t="shared" si="61"/>
        <v>296.02777777777777</v>
      </c>
      <c r="P964">
        <f t="shared" si="62"/>
        <v>40.063909774436091</v>
      </c>
      <c r="Q964" t="s">
        <v>2031</v>
      </c>
      <c r="R964" t="s">
        <v>2032</v>
      </c>
      <c r="S964" s="10">
        <f t="shared" si="60"/>
        <v>27171.325000000001</v>
      </c>
      <c r="T964" s="12">
        <f t="shared" si="63"/>
        <v>27173.424999999999</v>
      </c>
    </row>
    <row r="965" spans="1:20" x14ac:dyDescent="0.35">
      <c r="A965">
        <v>963</v>
      </c>
      <c r="B965" s="4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6">
        <f t="shared" si="61"/>
        <v>84.694915254237287</v>
      </c>
      <c r="P965">
        <f t="shared" si="62"/>
        <v>43.833333333333336</v>
      </c>
      <c r="Q965" t="s">
        <v>2052</v>
      </c>
      <c r="R965" t="s">
        <v>2053</v>
      </c>
      <c r="S965" s="10">
        <f t="shared" si="60"/>
        <v>27072.825000000001</v>
      </c>
      <c r="T965" s="12">
        <f t="shared" si="63"/>
        <v>27073.424999999999</v>
      </c>
    </row>
    <row r="966" spans="1:20" x14ac:dyDescent="0.35">
      <c r="A966">
        <v>964</v>
      </c>
      <c r="B966" s="4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6">
        <f t="shared" si="61"/>
        <v>355.7837837837838</v>
      </c>
      <c r="P966">
        <f t="shared" si="62"/>
        <v>84.92903225806451</v>
      </c>
      <c r="Q966" t="s">
        <v>2037</v>
      </c>
      <c r="R966" t="s">
        <v>2038</v>
      </c>
      <c r="S966" s="10">
        <f t="shared" si="60"/>
        <v>27225.620833333334</v>
      </c>
      <c r="T966" s="12">
        <f t="shared" si="63"/>
        <v>27226.120833333334</v>
      </c>
    </row>
    <row r="967" spans="1:20" x14ac:dyDescent="0.35">
      <c r="A967">
        <v>965</v>
      </c>
      <c r="B967" s="4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6">
        <f t="shared" si="61"/>
        <v>386.40909090909093</v>
      </c>
      <c r="P967">
        <f t="shared" si="62"/>
        <v>41.067632850241544</v>
      </c>
      <c r="Q967" t="s">
        <v>2033</v>
      </c>
      <c r="R967" t="s">
        <v>2034</v>
      </c>
      <c r="S967" s="10">
        <f t="shared" si="60"/>
        <v>27032.424999999999</v>
      </c>
      <c r="T967" s="12">
        <f t="shared" si="63"/>
        <v>27036.424999999999</v>
      </c>
    </row>
    <row r="968" spans="1:20" x14ac:dyDescent="0.35">
      <c r="A968">
        <v>966</v>
      </c>
      <c r="B968" s="4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6">
        <f t="shared" si="61"/>
        <v>792.23529411764707</v>
      </c>
      <c r="P968">
        <f t="shared" si="62"/>
        <v>54.971428571428568</v>
      </c>
      <c r="Q968" t="s">
        <v>2037</v>
      </c>
      <c r="R968" t="s">
        <v>2038</v>
      </c>
      <c r="S968" s="10">
        <f t="shared" si="60"/>
        <v>27302.220833333333</v>
      </c>
      <c r="T968" s="12">
        <f t="shared" si="63"/>
        <v>27302.420833333334</v>
      </c>
    </row>
    <row r="969" spans="1:20" x14ac:dyDescent="0.35">
      <c r="A969">
        <v>967</v>
      </c>
      <c r="B969" s="4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6">
        <f t="shared" si="61"/>
        <v>137.03393665158373</v>
      </c>
      <c r="P969">
        <f t="shared" si="62"/>
        <v>77.010807374443743</v>
      </c>
      <c r="Q969" t="s">
        <v>2033</v>
      </c>
      <c r="R969" t="s">
        <v>2060</v>
      </c>
      <c r="S969" s="10">
        <f t="shared" si="60"/>
        <v>27112.620833333334</v>
      </c>
      <c r="T969" s="12">
        <f t="shared" si="63"/>
        <v>27116.320833333335</v>
      </c>
    </row>
    <row r="970" spans="1:20" ht="31" x14ac:dyDescent="0.35">
      <c r="A970">
        <v>968</v>
      </c>
      <c r="B970" s="4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6">
        <f t="shared" si="61"/>
        <v>338.20833333333337</v>
      </c>
      <c r="P970">
        <f t="shared" si="62"/>
        <v>71.201754385964918</v>
      </c>
      <c r="Q970" t="s">
        <v>2031</v>
      </c>
      <c r="R970" t="s">
        <v>2032</v>
      </c>
      <c r="S970" s="10">
        <f t="shared" si="60"/>
        <v>27066.525000000001</v>
      </c>
      <c r="T970" s="12">
        <f t="shared" si="63"/>
        <v>27068.025000000001</v>
      </c>
    </row>
    <row r="971" spans="1:20" x14ac:dyDescent="0.35">
      <c r="A971">
        <v>969</v>
      </c>
      <c r="B971" s="4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6">
        <f t="shared" si="61"/>
        <v>108.22784810126582</v>
      </c>
      <c r="P971">
        <f t="shared" si="62"/>
        <v>91.935483870967744</v>
      </c>
      <c r="Q971" t="s">
        <v>2037</v>
      </c>
      <c r="R971" t="s">
        <v>2038</v>
      </c>
      <c r="S971" s="10">
        <f t="shared" si="60"/>
        <v>27394.224999999999</v>
      </c>
      <c r="T971" s="12">
        <f t="shared" si="63"/>
        <v>27394.924999999999</v>
      </c>
    </row>
    <row r="972" spans="1:20" ht="31" x14ac:dyDescent="0.35">
      <c r="A972">
        <v>970</v>
      </c>
      <c r="B972" s="4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6">
        <f t="shared" si="61"/>
        <v>60.757639620653315</v>
      </c>
      <c r="P972">
        <f t="shared" si="62"/>
        <v>97.069023569023571</v>
      </c>
      <c r="Q972" t="s">
        <v>2037</v>
      </c>
      <c r="R972" t="s">
        <v>2038</v>
      </c>
      <c r="S972" s="10">
        <f t="shared" si="60"/>
        <v>27079.320833333335</v>
      </c>
      <c r="T972" s="12">
        <f t="shared" si="63"/>
        <v>27079.420833333334</v>
      </c>
    </row>
    <row r="973" spans="1:20" x14ac:dyDescent="0.35">
      <c r="A973">
        <v>971</v>
      </c>
      <c r="B973" s="4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6">
        <f t="shared" si="61"/>
        <v>27.725490196078432</v>
      </c>
      <c r="P973">
        <f t="shared" si="62"/>
        <v>58.916666666666664</v>
      </c>
      <c r="Q973" t="s">
        <v>2039</v>
      </c>
      <c r="R973" t="s">
        <v>2058</v>
      </c>
      <c r="S973" s="10">
        <f t="shared" ref="S973:S1001" si="64">J:J/864000+DATE(1970,1,1)</f>
        <v>27167.620833333334</v>
      </c>
      <c r="T973" s="12">
        <f t="shared" si="63"/>
        <v>27168.220833333333</v>
      </c>
    </row>
    <row r="974" spans="1:20" ht="31" x14ac:dyDescent="0.35">
      <c r="A974">
        <v>972</v>
      </c>
      <c r="B974" s="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6">
        <f t="shared" si="61"/>
        <v>228.3934426229508</v>
      </c>
      <c r="P974">
        <f t="shared" si="62"/>
        <v>58.015466983938133</v>
      </c>
      <c r="Q974" t="s">
        <v>2035</v>
      </c>
      <c r="R974" t="s">
        <v>2036</v>
      </c>
      <c r="S974" s="10">
        <f t="shared" si="64"/>
        <v>27191.320833333335</v>
      </c>
      <c r="T974" s="12">
        <f t="shared" si="63"/>
        <v>27192.220833333333</v>
      </c>
    </row>
    <row r="975" spans="1:20" x14ac:dyDescent="0.35">
      <c r="A975">
        <v>973</v>
      </c>
      <c r="B975" s="4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6">
        <f t="shared" si="61"/>
        <v>21.615194054500414</v>
      </c>
      <c r="P975">
        <f t="shared" si="62"/>
        <v>103.87301587301587</v>
      </c>
      <c r="Q975" t="s">
        <v>2037</v>
      </c>
      <c r="R975" t="s">
        <v>2038</v>
      </c>
      <c r="S975" s="10">
        <f t="shared" si="64"/>
        <v>27064.325000000001</v>
      </c>
      <c r="T975" s="12">
        <f t="shared" si="63"/>
        <v>27064.525000000001</v>
      </c>
    </row>
    <row r="976" spans="1:20" x14ac:dyDescent="0.35">
      <c r="A976">
        <v>974</v>
      </c>
      <c r="B976" s="4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6">
        <f t="shared" si="61"/>
        <v>373.875</v>
      </c>
      <c r="P976">
        <f t="shared" si="62"/>
        <v>93.46875</v>
      </c>
      <c r="Q976" t="s">
        <v>2033</v>
      </c>
      <c r="R976" t="s">
        <v>2043</v>
      </c>
      <c r="S976" s="10">
        <f t="shared" si="64"/>
        <v>27153.320833333335</v>
      </c>
      <c r="T976" s="12">
        <f t="shared" si="63"/>
        <v>27153.420833333334</v>
      </c>
    </row>
    <row r="977" spans="1:20" x14ac:dyDescent="0.35">
      <c r="A977">
        <v>975</v>
      </c>
      <c r="B977" s="4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6">
        <f t="shared" si="61"/>
        <v>154.92592592592592</v>
      </c>
      <c r="P977">
        <f t="shared" si="62"/>
        <v>61.970370370370368</v>
      </c>
      <c r="Q977" t="s">
        <v>2037</v>
      </c>
      <c r="R977" t="s">
        <v>2038</v>
      </c>
      <c r="S977" s="10">
        <f t="shared" si="64"/>
        <v>27245.825000000001</v>
      </c>
      <c r="T977" s="12">
        <f t="shared" si="63"/>
        <v>27249.724999999999</v>
      </c>
    </row>
    <row r="978" spans="1:20" ht="31" x14ac:dyDescent="0.35">
      <c r="A978">
        <v>976</v>
      </c>
      <c r="B978" s="4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6">
        <f t="shared" si="61"/>
        <v>322.14999999999998</v>
      </c>
      <c r="P978">
        <f t="shared" si="62"/>
        <v>92.042857142857144</v>
      </c>
      <c r="Q978" t="s">
        <v>2037</v>
      </c>
      <c r="R978" t="s">
        <v>2038</v>
      </c>
      <c r="S978" s="10">
        <f t="shared" si="64"/>
        <v>27069.224999999999</v>
      </c>
      <c r="T978" s="12">
        <f t="shared" si="63"/>
        <v>27069.825000000001</v>
      </c>
    </row>
    <row r="979" spans="1:20" x14ac:dyDescent="0.35">
      <c r="A979">
        <v>977</v>
      </c>
      <c r="B979" s="4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6">
        <f t="shared" si="61"/>
        <v>73.957142857142856</v>
      </c>
      <c r="P979">
        <f t="shared" si="62"/>
        <v>77.268656716417908</v>
      </c>
      <c r="Q979" t="s">
        <v>2031</v>
      </c>
      <c r="R979" t="s">
        <v>2032</v>
      </c>
      <c r="S979" s="10">
        <f t="shared" si="64"/>
        <v>27325.924999999999</v>
      </c>
      <c r="T979" s="12">
        <f t="shared" si="63"/>
        <v>27329.125</v>
      </c>
    </row>
    <row r="980" spans="1:20" x14ac:dyDescent="0.35">
      <c r="A980">
        <v>978</v>
      </c>
      <c r="B980" s="4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6">
        <f t="shared" si="61"/>
        <v>864.1</v>
      </c>
      <c r="P980">
        <f t="shared" si="62"/>
        <v>93.923913043478265</v>
      </c>
      <c r="Q980" t="s">
        <v>2048</v>
      </c>
      <c r="R980" t="s">
        <v>2049</v>
      </c>
      <c r="S980" s="10">
        <f t="shared" si="64"/>
        <v>27280.724999999999</v>
      </c>
      <c r="T980" s="12">
        <f t="shared" si="63"/>
        <v>27282.924999999999</v>
      </c>
    </row>
    <row r="981" spans="1:20" x14ac:dyDescent="0.35">
      <c r="A981">
        <v>979</v>
      </c>
      <c r="B981" s="4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6">
        <f t="shared" si="61"/>
        <v>143.26245847176079</v>
      </c>
      <c r="P981">
        <f t="shared" si="62"/>
        <v>84.969458128078813</v>
      </c>
      <c r="Q981" t="s">
        <v>2037</v>
      </c>
      <c r="R981" t="s">
        <v>2038</v>
      </c>
      <c r="S981" s="10">
        <f t="shared" si="64"/>
        <v>27219.920833333334</v>
      </c>
      <c r="T981" s="12">
        <f t="shared" si="63"/>
        <v>27220.520833333332</v>
      </c>
    </row>
    <row r="982" spans="1:20" x14ac:dyDescent="0.35">
      <c r="A982">
        <v>980</v>
      </c>
      <c r="B982" s="4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6">
        <f t="shared" si="61"/>
        <v>40.281762295081968</v>
      </c>
      <c r="P982">
        <f t="shared" si="62"/>
        <v>105.97035040431267</v>
      </c>
      <c r="Q982" t="s">
        <v>2045</v>
      </c>
      <c r="R982" t="s">
        <v>2046</v>
      </c>
      <c r="S982" s="10">
        <f t="shared" si="64"/>
        <v>27242.820833333335</v>
      </c>
      <c r="T982" s="12">
        <f t="shared" si="63"/>
        <v>27243.325000000001</v>
      </c>
    </row>
    <row r="983" spans="1:20" x14ac:dyDescent="0.35">
      <c r="A983">
        <v>981</v>
      </c>
      <c r="B983" s="4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6">
        <f t="shared" si="61"/>
        <v>178.22388059701493</v>
      </c>
      <c r="P983">
        <f t="shared" si="62"/>
        <v>36.969040247678016</v>
      </c>
      <c r="Q983" t="s">
        <v>2035</v>
      </c>
      <c r="R983" t="s">
        <v>2036</v>
      </c>
      <c r="S983" s="10">
        <f t="shared" si="64"/>
        <v>27321.525000000001</v>
      </c>
      <c r="T983" s="12">
        <f t="shared" si="63"/>
        <v>27324.825000000001</v>
      </c>
    </row>
    <row r="984" spans="1:20" x14ac:dyDescent="0.35">
      <c r="A984">
        <v>982</v>
      </c>
      <c r="B984" s="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6">
        <f t="shared" si="61"/>
        <v>84.930555555555557</v>
      </c>
      <c r="P984">
        <f t="shared" si="62"/>
        <v>81.533333333333331</v>
      </c>
      <c r="Q984" t="s">
        <v>2039</v>
      </c>
      <c r="R984" t="s">
        <v>2040</v>
      </c>
      <c r="S984" s="10">
        <f t="shared" si="64"/>
        <v>27086.420833333334</v>
      </c>
      <c r="T984" s="12">
        <f t="shared" si="63"/>
        <v>27086.620833333334</v>
      </c>
    </row>
    <row r="985" spans="1:20" x14ac:dyDescent="0.35">
      <c r="A985">
        <v>983</v>
      </c>
      <c r="B985" s="4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6">
        <f t="shared" si="61"/>
        <v>145.93648334624322</v>
      </c>
      <c r="P985">
        <f t="shared" si="62"/>
        <v>80.999140154772135</v>
      </c>
      <c r="Q985" t="s">
        <v>2039</v>
      </c>
      <c r="R985" t="s">
        <v>2040</v>
      </c>
      <c r="S985" s="10">
        <f t="shared" si="64"/>
        <v>27380.220833333333</v>
      </c>
      <c r="T985" s="12">
        <f t="shared" si="63"/>
        <v>27381.720833333333</v>
      </c>
    </row>
    <row r="986" spans="1:20" ht="31" x14ac:dyDescent="0.35">
      <c r="A986">
        <v>984</v>
      </c>
      <c r="B986" s="4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6">
        <f t="shared" si="61"/>
        <v>152.46153846153848</v>
      </c>
      <c r="P986">
        <f t="shared" si="62"/>
        <v>26.010498687664043</v>
      </c>
      <c r="Q986" t="s">
        <v>2037</v>
      </c>
      <c r="R986" t="s">
        <v>2038</v>
      </c>
      <c r="S986" s="10">
        <f t="shared" si="64"/>
        <v>27383.720833333333</v>
      </c>
      <c r="T986" s="12">
        <f t="shared" si="63"/>
        <v>27386.320833333335</v>
      </c>
    </row>
    <row r="987" spans="1:20" x14ac:dyDescent="0.35">
      <c r="A987">
        <v>985</v>
      </c>
      <c r="B987" s="4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6">
        <f t="shared" si="61"/>
        <v>67.129542790152414</v>
      </c>
      <c r="P987">
        <f t="shared" si="62"/>
        <v>25.998410896708286</v>
      </c>
      <c r="Q987" t="s">
        <v>2033</v>
      </c>
      <c r="R987" t="s">
        <v>2034</v>
      </c>
      <c r="S987" s="10">
        <f t="shared" si="64"/>
        <v>27173.525000000001</v>
      </c>
      <c r="T987" s="12">
        <f t="shared" si="63"/>
        <v>27176.125</v>
      </c>
    </row>
    <row r="988" spans="1:20" ht="31" x14ac:dyDescent="0.35">
      <c r="A988">
        <v>986</v>
      </c>
      <c r="B988" s="4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6">
        <f t="shared" si="61"/>
        <v>40.307692307692307</v>
      </c>
      <c r="P988">
        <f t="shared" si="62"/>
        <v>34.173913043478258</v>
      </c>
      <c r="Q988" t="s">
        <v>2033</v>
      </c>
      <c r="R988" t="s">
        <v>2034</v>
      </c>
      <c r="S988" s="10">
        <f t="shared" si="64"/>
        <v>27075.920833333334</v>
      </c>
      <c r="T988" s="12">
        <f t="shared" si="63"/>
        <v>27077.320833333335</v>
      </c>
    </row>
    <row r="989" spans="1:20" x14ac:dyDescent="0.35">
      <c r="A989">
        <v>987</v>
      </c>
      <c r="B989" s="4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6">
        <f t="shared" si="61"/>
        <v>216.79032258064518</v>
      </c>
      <c r="P989">
        <f t="shared" si="62"/>
        <v>28.002083333333335</v>
      </c>
      <c r="Q989" t="s">
        <v>2039</v>
      </c>
      <c r="R989" t="s">
        <v>2040</v>
      </c>
      <c r="S989" s="10">
        <f t="shared" si="64"/>
        <v>27297.320833333335</v>
      </c>
      <c r="T989" s="12">
        <f t="shared" si="63"/>
        <v>27298.720833333333</v>
      </c>
    </row>
    <row r="990" spans="1:20" x14ac:dyDescent="0.35">
      <c r="A990">
        <v>988</v>
      </c>
      <c r="B990" s="4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6">
        <f t="shared" si="61"/>
        <v>52.117021276595743</v>
      </c>
      <c r="P990">
        <f t="shared" si="62"/>
        <v>76.546875</v>
      </c>
      <c r="Q990" t="s">
        <v>2045</v>
      </c>
      <c r="R990" t="s">
        <v>2054</v>
      </c>
      <c r="S990" s="10">
        <f t="shared" si="64"/>
        <v>27280.724999999999</v>
      </c>
      <c r="T990" s="12">
        <f t="shared" si="63"/>
        <v>27282.825000000001</v>
      </c>
    </row>
    <row r="991" spans="1:20" x14ac:dyDescent="0.35">
      <c r="A991">
        <v>989</v>
      </c>
      <c r="B991" s="4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6">
        <f t="shared" si="61"/>
        <v>499.58333333333337</v>
      </c>
      <c r="P991">
        <f t="shared" si="62"/>
        <v>53.053097345132741</v>
      </c>
      <c r="Q991" t="s">
        <v>2045</v>
      </c>
      <c r="R991" t="s">
        <v>2057</v>
      </c>
      <c r="S991" s="10">
        <f t="shared" si="64"/>
        <v>27369.220833333333</v>
      </c>
      <c r="T991" s="12">
        <f t="shared" si="63"/>
        <v>27369.720833333333</v>
      </c>
    </row>
    <row r="992" spans="1:20" x14ac:dyDescent="0.35">
      <c r="A992">
        <v>990</v>
      </c>
      <c r="B992" s="4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6">
        <f t="shared" si="61"/>
        <v>87.679487179487182</v>
      </c>
      <c r="P992">
        <f t="shared" si="62"/>
        <v>106.859375</v>
      </c>
      <c r="Q992" t="s">
        <v>2039</v>
      </c>
      <c r="R992" t="s">
        <v>2042</v>
      </c>
      <c r="S992" s="10">
        <f t="shared" si="64"/>
        <v>27255.325000000001</v>
      </c>
      <c r="T992" s="12">
        <f t="shared" si="63"/>
        <v>27257.520833333332</v>
      </c>
    </row>
    <row r="993" spans="1:20" x14ac:dyDescent="0.35">
      <c r="A993">
        <v>991</v>
      </c>
      <c r="B993" s="4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6">
        <f t="shared" si="61"/>
        <v>113.17346938775511</v>
      </c>
      <c r="P993">
        <f t="shared" si="62"/>
        <v>46.020746887966808</v>
      </c>
      <c r="Q993" t="s">
        <v>2033</v>
      </c>
      <c r="R993" t="s">
        <v>2034</v>
      </c>
      <c r="S993" s="10">
        <f t="shared" si="64"/>
        <v>27202.820833333335</v>
      </c>
      <c r="T993" s="12">
        <f t="shared" si="63"/>
        <v>27203.220833333333</v>
      </c>
    </row>
    <row r="994" spans="1:20" x14ac:dyDescent="0.35">
      <c r="A994">
        <v>992</v>
      </c>
      <c r="B994" s="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6">
        <f t="shared" si="61"/>
        <v>426.54838709677421</v>
      </c>
      <c r="P994">
        <f t="shared" si="62"/>
        <v>100.17424242424242</v>
      </c>
      <c r="Q994" t="s">
        <v>2039</v>
      </c>
      <c r="R994" t="s">
        <v>2042</v>
      </c>
      <c r="S994" s="10">
        <f t="shared" si="64"/>
        <v>27334.820833333335</v>
      </c>
      <c r="T994" s="12">
        <f t="shared" si="63"/>
        <v>27336.220833333333</v>
      </c>
    </row>
    <row r="995" spans="1:20" x14ac:dyDescent="0.35">
      <c r="A995">
        <v>993</v>
      </c>
      <c r="B995" s="4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6">
        <f t="shared" si="61"/>
        <v>77.632653061224488</v>
      </c>
      <c r="P995">
        <f t="shared" si="62"/>
        <v>101.44</v>
      </c>
      <c r="Q995" t="s">
        <v>2052</v>
      </c>
      <c r="R995" t="s">
        <v>2053</v>
      </c>
      <c r="S995" s="10">
        <f t="shared" si="64"/>
        <v>27248.325000000001</v>
      </c>
      <c r="T995" s="12">
        <f t="shared" si="63"/>
        <v>27250.025000000001</v>
      </c>
    </row>
    <row r="996" spans="1:20" x14ac:dyDescent="0.35">
      <c r="A996">
        <v>994</v>
      </c>
      <c r="B996" s="4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6">
        <f t="shared" si="61"/>
        <v>52.496810772501767</v>
      </c>
      <c r="P996">
        <f t="shared" si="62"/>
        <v>87.972684085510693</v>
      </c>
      <c r="Q996" t="s">
        <v>2045</v>
      </c>
      <c r="R996" t="s">
        <v>2057</v>
      </c>
      <c r="S996" s="10">
        <f t="shared" si="64"/>
        <v>27205.020833333332</v>
      </c>
      <c r="T996" s="12">
        <f t="shared" si="63"/>
        <v>27205.620833333334</v>
      </c>
    </row>
    <row r="997" spans="1:20" x14ac:dyDescent="0.35">
      <c r="A997">
        <v>995</v>
      </c>
      <c r="B997" s="4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6">
        <f t="shared" si="61"/>
        <v>157.46762589928059</v>
      </c>
      <c r="P997">
        <f t="shared" si="62"/>
        <v>74.995594713656388</v>
      </c>
      <c r="Q997" t="s">
        <v>2031</v>
      </c>
      <c r="R997" t="s">
        <v>2032</v>
      </c>
      <c r="S997" s="10">
        <f t="shared" si="64"/>
        <v>27352.920833333334</v>
      </c>
      <c r="T997" s="12">
        <f t="shared" si="63"/>
        <v>27355.825000000001</v>
      </c>
    </row>
    <row r="998" spans="1:20" ht="31" x14ac:dyDescent="0.35">
      <c r="A998">
        <v>996</v>
      </c>
      <c r="B998" s="4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6">
        <f t="shared" si="61"/>
        <v>72.939393939393938</v>
      </c>
      <c r="P998">
        <f t="shared" si="62"/>
        <v>42.982142857142854</v>
      </c>
      <c r="Q998" t="s">
        <v>2037</v>
      </c>
      <c r="R998" t="s">
        <v>2038</v>
      </c>
      <c r="S998" s="10">
        <f t="shared" si="64"/>
        <v>27139.724999999999</v>
      </c>
      <c r="T998" s="12">
        <f t="shared" si="63"/>
        <v>27142.724999999999</v>
      </c>
    </row>
    <row r="999" spans="1:20" x14ac:dyDescent="0.35">
      <c r="A999">
        <v>997</v>
      </c>
      <c r="B999" s="4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6">
        <f t="shared" si="61"/>
        <v>60.565789473684205</v>
      </c>
      <c r="P999">
        <f t="shared" si="62"/>
        <v>33.115107913669064</v>
      </c>
      <c r="Q999" t="s">
        <v>2037</v>
      </c>
      <c r="R999" t="s">
        <v>2038</v>
      </c>
      <c r="S999" s="10">
        <f t="shared" si="64"/>
        <v>27178.025000000001</v>
      </c>
      <c r="T999" s="12">
        <f t="shared" si="63"/>
        <v>27178.525000000001</v>
      </c>
    </row>
    <row r="1000" spans="1:20" x14ac:dyDescent="0.35">
      <c r="A1000">
        <v>998</v>
      </c>
      <c r="B1000" s="4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6">
        <f t="shared" si="61"/>
        <v>56.791291291291287</v>
      </c>
      <c r="P1000">
        <f t="shared" si="62"/>
        <v>101.13101604278074</v>
      </c>
      <c r="Q1000" t="s">
        <v>2033</v>
      </c>
      <c r="R1000" t="s">
        <v>2043</v>
      </c>
      <c r="S1000" s="10">
        <f t="shared" si="64"/>
        <v>27034.125</v>
      </c>
      <c r="T1000" s="12">
        <f t="shared" si="63"/>
        <v>27035.525000000001</v>
      </c>
    </row>
    <row r="1001" spans="1:20" x14ac:dyDescent="0.35">
      <c r="A1001">
        <v>999</v>
      </c>
      <c r="B1001" s="4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6">
        <f t="shared" si="61"/>
        <v>56.542754275427541</v>
      </c>
      <c r="P1001">
        <f t="shared" si="62"/>
        <v>55.98841354723708</v>
      </c>
      <c r="Q1001" t="s">
        <v>2031</v>
      </c>
      <c r="R1001" t="s">
        <v>2032</v>
      </c>
      <c r="S1001" s="10">
        <f t="shared" si="64"/>
        <v>27267.120833333334</v>
      </c>
      <c r="T1001" s="12">
        <f t="shared" si="63"/>
        <v>27267.820833333335</v>
      </c>
    </row>
  </sheetData>
  <conditionalFormatting sqref="F1:F1048576">
    <cfRule type="containsText" priority="8" operator="containsText" text="failed">
      <formula>NOT(ISERROR(SEARCH("failed",F1)))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FF0000"/>
        <color rgb="FF00B050"/>
        <color rgb="FF0070C0"/>
      </colorScale>
    </cfRule>
  </conditionalFormatting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EED12C5D-DB3F-49FC-B3A1-34157DC44BD4}">
            <xm:f>NOT(ISERROR(SEARCH($F$28,F1)))</xm:f>
            <xm:f>$F$28</xm:f>
            <x14:dxf>
              <fill>
                <patternFill>
                  <bgColor rgb="FFFFFF00"/>
                </patternFill>
              </fill>
            </x14:dxf>
          </x14:cfRule>
          <x14:cfRule type="containsText" priority="3" operator="containsText" id="{2D2A0C76-7D3F-4D89-8A5D-69ADDD0258C9}">
            <xm:f>NOT(ISERROR(SEARCH($F$10,F1)))</xm:f>
            <xm:f>$F$10</xm:f>
            <x14:dxf>
              <fill>
                <patternFill>
                  <bgColor rgb="FF00B0F0"/>
                </patternFill>
              </fill>
            </x14:dxf>
          </x14:cfRule>
          <x14:cfRule type="containsText" priority="4" operator="containsText" id="{12042CC2-8B80-4361-A0FA-010ADC7AAC21}">
            <xm:f>NOT(ISERROR(SEARCH($F$4,F1)))</xm:f>
            <xm:f>$F$4</xm:f>
            <x14:dxf>
              <fill>
                <patternFill>
                  <bgColor theme="9" tint="0.39994506668294322"/>
                </patternFill>
              </fill>
            </x14:dxf>
          </x14:cfRule>
          <x14:cfRule type="containsText" priority="5" operator="containsText" id="{B3FF26C2-7D19-4109-B5F0-F1CAA55E5E6A}">
            <xm:f>NOT(ISERROR(SEARCH($F$2,F1)))</xm:f>
            <xm:f>$F$2</xm:f>
            <x14:dxf>
              <fill>
                <patternFill>
                  <bgColor theme="5"/>
                </patternFill>
              </fill>
            </x14:dxf>
          </x14:cfRule>
          <x14:cfRule type="containsText" priority="6" operator="containsText" id="{0236E8AD-42DB-4F7A-9B71-AE6B36000217}">
            <xm:f>NOT(ISERROR(SEARCH($F$2,F1)))</xm:f>
            <xm:f>$F$2</xm:f>
            <x14:dxf/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531A-3B2B-46F1-B0D8-173599C55DD2}">
  <dimension ref="A1:Z10"/>
  <sheetViews>
    <sheetView zoomScaleNormal="100" workbookViewId="0">
      <selection activeCell="C9" sqref="C9"/>
    </sheetView>
  </sheetViews>
  <sheetFormatPr defaultRowHeight="15.5" x14ac:dyDescent="0.35"/>
  <cols>
    <col min="1" max="1" width="23.5" customWidth="1"/>
    <col min="2" max="2" width="23.08203125" bestFit="1" customWidth="1"/>
    <col min="3" max="3" width="8.25" bestFit="1" customWidth="1"/>
    <col min="4" max="4" width="17" bestFit="1" customWidth="1"/>
    <col min="5" max="5" width="9" bestFit="1" customWidth="1"/>
    <col min="6" max="6" width="18.25" bestFit="1" customWidth="1"/>
    <col min="7" max="7" width="9.5" bestFit="1" customWidth="1"/>
    <col min="8" max="8" width="15.58203125" bestFit="1" customWidth="1"/>
    <col min="9" max="9" width="13.25" bestFit="1" customWidth="1"/>
    <col min="10" max="10" width="6.25" bestFit="1" customWidth="1"/>
    <col min="11" max="11" width="8.25" bestFit="1" customWidth="1"/>
    <col min="12" max="12" width="18.08203125" bestFit="1" customWidth="1"/>
    <col min="13" max="13" width="13.75" bestFit="1" customWidth="1"/>
    <col min="14" max="14" width="24.58203125" bestFit="1" customWidth="1"/>
    <col min="15" max="15" width="7.83203125" bestFit="1" customWidth="1"/>
    <col min="16" max="16" width="22" bestFit="1" customWidth="1"/>
    <col min="17" max="17" width="7.08203125" bestFit="1" customWidth="1"/>
    <col min="18" max="18" width="19.25" bestFit="1" customWidth="1"/>
    <col min="19" max="19" width="9.5" bestFit="1" customWidth="1"/>
    <col min="20" max="20" width="13.25" bestFit="1" customWidth="1"/>
    <col min="21" max="21" width="16" bestFit="1" customWidth="1"/>
    <col min="22" max="22" width="16.75" bestFit="1" customWidth="1"/>
    <col min="23" max="23" width="13.25" bestFit="1" customWidth="1"/>
    <col min="24" max="24" width="6.25" bestFit="1" customWidth="1"/>
    <col min="25" max="26" width="15.75" bestFit="1" customWidth="1"/>
  </cols>
  <sheetData>
    <row r="1" spans="1:26" x14ac:dyDescent="0.35">
      <c r="A1" s="7" t="s">
        <v>6</v>
      </c>
      <c r="B1" t="s">
        <v>2069</v>
      </c>
    </row>
    <row r="2" spans="1:26" x14ac:dyDescent="0.35">
      <c r="A2" s="7" t="s">
        <v>2064</v>
      </c>
      <c r="B2" t="s">
        <v>2069</v>
      </c>
    </row>
    <row r="4" spans="1:26" x14ac:dyDescent="0.35">
      <c r="A4" s="7" t="s">
        <v>2068</v>
      </c>
      <c r="B4" s="7" t="s">
        <v>2070</v>
      </c>
    </row>
    <row r="5" spans="1:26" x14ac:dyDescent="0.35">
      <c r="A5" s="7" t="s">
        <v>2066</v>
      </c>
      <c r="B5" t="s">
        <v>2047</v>
      </c>
      <c r="C5" t="s">
        <v>2063</v>
      </c>
      <c r="D5" t="s">
        <v>2040</v>
      </c>
      <c r="E5" t="s">
        <v>2042</v>
      </c>
      <c r="F5" t="s">
        <v>2041</v>
      </c>
      <c r="G5" t="s">
        <v>2051</v>
      </c>
      <c r="H5" t="s">
        <v>2032</v>
      </c>
      <c r="I5" t="s">
        <v>2043</v>
      </c>
      <c r="J5" t="s">
        <v>2056</v>
      </c>
      <c r="K5" t="s">
        <v>2055</v>
      </c>
      <c r="L5" t="s">
        <v>2059</v>
      </c>
      <c r="M5" t="s">
        <v>2046</v>
      </c>
      <c r="N5" t="s">
        <v>2053</v>
      </c>
      <c r="O5" t="s">
        <v>2038</v>
      </c>
      <c r="P5" t="s">
        <v>2054</v>
      </c>
      <c r="Q5" t="s">
        <v>2034</v>
      </c>
      <c r="R5" t="s">
        <v>2061</v>
      </c>
      <c r="S5" t="s">
        <v>2050</v>
      </c>
      <c r="T5" t="s">
        <v>2058</v>
      </c>
      <c r="U5" t="s">
        <v>2057</v>
      </c>
      <c r="V5" t="s">
        <v>2049</v>
      </c>
      <c r="W5" t="s">
        <v>2044</v>
      </c>
      <c r="X5" t="s">
        <v>2036</v>
      </c>
      <c r="Y5" t="s">
        <v>2060</v>
      </c>
      <c r="Z5" t="s">
        <v>2067</v>
      </c>
    </row>
    <row r="6" spans="1:26" x14ac:dyDescent="0.35">
      <c r="A6" s="8" t="s">
        <v>74</v>
      </c>
      <c r="B6" s="9">
        <v>1</v>
      </c>
      <c r="C6" s="9"/>
      <c r="D6" s="9">
        <v>4</v>
      </c>
      <c r="E6" s="9">
        <v>2</v>
      </c>
      <c r="F6" s="9"/>
      <c r="G6" s="9">
        <v>1</v>
      </c>
      <c r="H6" s="9">
        <v>4</v>
      </c>
      <c r="I6" s="9">
        <v>3</v>
      </c>
      <c r="J6" s="9">
        <v>1</v>
      </c>
      <c r="K6" s="9"/>
      <c r="L6" s="9"/>
      <c r="M6" s="9">
        <v>1</v>
      </c>
      <c r="N6" s="9">
        <v>4</v>
      </c>
      <c r="O6" s="9">
        <v>23</v>
      </c>
      <c r="P6" s="9"/>
      <c r="Q6" s="9">
        <v>6</v>
      </c>
      <c r="R6" s="9"/>
      <c r="S6" s="9">
        <v>1</v>
      </c>
      <c r="T6" s="9">
        <v>3</v>
      </c>
      <c r="U6" s="9"/>
      <c r="V6" s="9">
        <v>1</v>
      </c>
      <c r="W6" s="9"/>
      <c r="X6" s="9">
        <v>2</v>
      </c>
      <c r="Y6" s="9"/>
      <c r="Z6" s="9">
        <v>57</v>
      </c>
    </row>
    <row r="7" spans="1:26" x14ac:dyDescent="0.35">
      <c r="A7" s="8" t="s">
        <v>14</v>
      </c>
      <c r="B7" s="9">
        <v>10</v>
      </c>
      <c r="C7" s="9"/>
      <c r="D7" s="9">
        <v>21</v>
      </c>
      <c r="E7" s="9">
        <v>12</v>
      </c>
      <c r="F7" s="9">
        <v>8</v>
      </c>
      <c r="G7" s="9">
        <v>7</v>
      </c>
      <c r="H7" s="9">
        <v>20</v>
      </c>
      <c r="I7" s="9">
        <v>19</v>
      </c>
      <c r="J7" s="9">
        <v>6</v>
      </c>
      <c r="K7" s="9">
        <v>3</v>
      </c>
      <c r="L7" s="9">
        <v>8</v>
      </c>
      <c r="M7" s="9">
        <v>6</v>
      </c>
      <c r="N7" s="9">
        <v>11</v>
      </c>
      <c r="O7" s="9">
        <v>132</v>
      </c>
      <c r="P7" s="9">
        <v>4</v>
      </c>
      <c r="Q7" s="9">
        <v>30</v>
      </c>
      <c r="R7" s="9">
        <v>9</v>
      </c>
      <c r="S7" s="9">
        <v>5</v>
      </c>
      <c r="T7" s="9">
        <v>3</v>
      </c>
      <c r="U7" s="9">
        <v>7</v>
      </c>
      <c r="V7" s="9">
        <v>15</v>
      </c>
      <c r="W7" s="9">
        <v>16</v>
      </c>
      <c r="X7" s="9">
        <v>12</v>
      </c>
      <c r="Y7" s="9"/>
      <c r="Z7" s="9">
        <v>364</v>
      </c>
    </row>
    <row r="8" spans="1:26" x14ac:dyDescent="0.35">
      <c r="A8" s="8" t="s">
        <v>47</v>
      </c>
      <c r="B8" s="9">
        <v>2</v>
      </c>
      <c r="C8" s="9"/>
      <c r="D8" s="9">
        <v>1</v>
      </c>
      <c r="E8" s="9">
        <v>1</v>
      </c>
      <c r="F8" s="9"/>
      <c r="G8" s="9"/>
      <c r="H8" s="9"/>
      <c r="I8" s="9"/>
      <c r="J8" s="9"/>
      <c r="K8" s="9"/>
      <c r="L8" s="9">
        <v>1</v>
      </c>
      <c r="M8" s="9">
        <v>1</v>
      </c>
      <c r="N8" s="9">
        <v>1</v>
      </c>
      <c r="O8" s="9">
        <v>2</v>
      </c>
      <c r="P8" s="9"/>
      <c r="Q8" s="9"/>
      <c r="R8" s="9"/>
      <c r="S8" s="9">
        <v>1</v>
      </c>
      <c r="T8" s="9"/>
      <c r="U8" s="9"/>
      <c r="V8" s="9">
        <v>2</v>
      </c>
      <c r="W8" s="9">
        <v>1</v>
      </c>
      <c r="X8" s="9">
        <v>1</v>
      </c>
      <c r="Y8" s="9"/>
      <c r="Z8" s="9">
        <v>14</v>
      </c>
    </row>
    <row r="9" spans="1:26" x14ac:dyDescent="0.35">
      <c r="A9" s="8" t="s">
        <v>20</v>
      </c>
      <c r="B9" s="9">
        <v>21</v>
      </c>
      <c r="C9" s="9">
        <v>4</v>
      </c>
      <c r="D9" s="9">
        <v>34</v>
      </c>
      <c r="E9" s="9">
        <v>22</v>
      </c>
      <c r="F9" s="9">
        <v>10</v>
      </c>
      <c r="G9" s="9">
        <v>9</v>
      </c>
      <c r="H9" s="9">
        <v>22</v>
      </c>
      <c r="I9" s="9">
        <v>23</v>
      </c>
      <c r="J9" s="9">
        <v>10</v>
      </c>
      <c r="K9" s="9">
        <v>4</v>
      </c>
      <c r="L9" s="9">
        <v>4</v>
      </c>
      <c r="M9" s="9">
        <v>13</v>
      </c>
      <c r="N9" s="9">
        <v>26</v>
      </c>
      <c r="O9" s="9">
        <v>187</v>
      </c>
      <c r="P9" s="9">
        <v>4</v>
      </c>
      <c r="Q9" s="9">
        <v>49</v>
      </c>
      <c r="R9" s="9">
        <v>5</v>
      </c>
      <c r="S9" s="9">
        <v>9</v>
      </c>
      <c r="T9" s="9">
        <v>11</v>
      </c>
      <c r="U9" s="9">
        <v>14</v>
      </c>
      <c r="V9" s="9">
        <v>17</v>
      </c>
      <c r="W9" s="9">
        <v>28</v>
      </c>
      <c r="X9" s="9">
        <v>36</v>
      </c>
      <c r="Y9" s="9">
        <v>3</v>
      </c>
      <c r="Z9" s="9">
        <v>565</v>
      </c>
    </row>
    <row r="10" spans="1:26" x14ac:dyDescent="0.35">
      <c r="A10" s="8" t="s">
        <v>2067</v>
      </c>
      <c r="B10" s="9">
        <v>34</v>
      </c>
      <c r="C10" s="9">
        <v>4</v>
      </c>
      <c r="D10" s="9">
        <v>60</v>
      </c>
      <c r="E10" s="9">
        <v>37</v>
      </c>
      <c r="F10" s="9">
        <v>18</v>
      </c>
      <c r="G10" s="9">
        <v>17</v>
      </c>
      <c r="H10" s="9">
        <v>46</v>
      </c>
      <c r="I10" s="9">
        <v>45</v>
      </c>
      <c r="J10" s="9">
        <v>17</v>
      </c>
      <c r="K10" s="9">
        <v>7</v>
      </c>
      <c r="L10" s="9">
        <v>13</v>
      </c>
      <c r="M10" s="9">
        <v>21</v>
      </c>
      <c r="N10" s="9">
        <v>42</v>
      </c>
      <c r="O10" s="9">
        <v>344</v>
      </c>
      <c r="P10" s="9">
        <v>8</v>
      </c>
      <c r="Q10" s="9">
        <v>85</v>
      </c>
      <c r="R10" s="9">
        <v>14</v>
      </c>
      <c r="S10" s="9">
        <v>16</v>
      </c>
      <c r="T10" s="9">
        <v>17</v>
      </c>
      <c r="U10" s="9">
        <v>21</v>
      </c>
      <c r="V10" s="9">
        <v>35</v>
      </c>
      <c r="W10" s="9">
        <v>45</v>
      </c>
      <c r="X10" s="9">
        <v>51</v>
      </c>
      <c r="Y10" s="9">
        <v>3</v>
      </c>
      <c r="Z10" s="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23D8E-6D27-4334-BC61-E6146A62D370}">
  <dimension ref="A1:F18"/>
  <sheetViews>
    <sheetView zoomScale="80" zoomScaleNormal="80" workbookViewId="0">
      <selection activeCell="J30" sqref="J30"/>
    </sheetView>
  </sheetViews>
  <sheetFormatPr defaultRowHeight="15.5" x14ac:dyDescent="0.35"/>
  <cols>
    <col min="1" max="1" width="22.25" bestFit="1" customWidth="1"/>
    <col min="2" max="2" width="23.9140625" bestFit="1" customWidth="1"/>
    <col min="3" max="3" width="8.25" bestFit="1" customWidth="1"/>
    <col min="4" max="4" width="5.75" bestFit="1" customWidth="1"/>
    <col min="5" max="5" width="14.25" bestFit="1" customWidth="1"/>
    <col min="6" max="6" width="15.58203125" bestFit="1" customWidth="1"/>
  </cols>
  <sheetData>
    <row r="1" spans="1:6" x14ac:dyDescent="0.35">
      <c r="A1" s="7" t="s">
        <v>2064</v>
      </c>
      <c r="B1" t="s">
        <v>2069</v>
      </c>
    </row>
    <row r="2" spans="1:6" x14ac:dyDescent="0.35">
      <c r="A2" s="7" t="s">
        <v>2085</v>
      </c>
      <c r="B2" t="s">
        <v>2069</v>
      </c>
    </row>
    <row r="4" spans="1:6" x14ac:dyDescent="0.35">
      <c r="A4" s="7" t="s">
        <v>2068</v>
      </c>
      <c r="B4" s="7" t="s">
        <v>2070</v>
      </c>
    </row>
    <row r="5" spans="1:6" x14ac:dyDescent="0.35">
      <c r="A5" s="7" t="s">
        <v>2066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35">
      <c r="A6" s="13" t="s">
        <v>2073</v>
      </c>
      <c r="B6" s="9">
        <v>12</v>
      </c>
      <c r="C6" s="9">
        <v>34</v>
      </c>
      <c r="D6" s="9">
        <v>1</v>
      </c>
      <c r="E6" s="9">
        <v>53</v>
      </c>
      <c r="F6" s="9">
        <v>100</v>
      </c>
    </row>
    <row r="7" spans="1:6" x14ac:dyDescent="0.35">
      <c r="A7" s="13" t="s">
        <v>2074</v>
      </c>
      <c r="B7" s="9">
        <v>4</v>
      </c>
      <c r="C7" s="9">
        <v>33</v>
      </c>
      <c r="D7" s="9">
        <v>1</v>
      </c>
      <c r="E7" s="9">
        <v>40</v>
      </c>
      <c r="F7" s="9">
        <v>78</v>
      </c>
    </row>
    <row r="8" spans="1:6" x14ac:dyDescent="0.35">
      <c r="A8" s="13" t="s">
        <v>2075</v>
      </c>
      <c r="B8" s="9">
        <v>7</v>
      </c>
      <c r="C8" s="9">
        <v>30</v>
      </c>
      <c r="D8" s="9">
        <v>1</v>
      </c>
      <c r="E8" s="9">
        <v>45</v>
      </c>
      <c r="F8" s="9">
        <v>83</v>
      </c>
    </row>
    <row r="9" spans="1:6" x14ac:dyDescent="0.35">
      <c r="A9" s="13" t="s">
        <v>2076</v>
      </c>
      <c r="B9" s="9">
        <v>1</v>
      </c>
      <c r="C9" s="9">
        <v>22</v>
      </c>
      <c r="D9" s="9">
        <v>2</v>
      </c>
      <c r="E9" s="9">
        <v>36</v>
      </c>
      <c r="F9" s="9">
        <v>61</v>
      </c>
    </row>
    <row r="10" spans="1:6" x14ac:dyDescent="0.35">
      <c r="A10" s="13" t="s">
        <v>2077</v>
      </c>
      <c r="B10" s="9">
        <v>6</v>
      </c>
      <c r="C10" s="9">
        <v>29</v>
      </c>
      <c r="D10" s="9">
        <v>1</v>
      </c>
      <c r="E10" s="9">
        <v>39</v>
      </c>
      <c r="F10" s="9">
        <v>75</v>
      </c>
    </row>
    <row r="11" spans="1:6" x14ac:dyDescent="0.35">
      <c r="A11" s="13" t="s">
        <v>2078</v>
      </c>
      <c r="B11" s="9">
        <v>2</v>
      </c>
      <c r="C11" s="9">
        <v>29</v>
      </c>
      <c r="D11" s="9">
        <v>1</v>
      </c>
      <c r="E11" s="9">
        <v>52</v>
      </c>
      <c r="F11" s="9">
        <v>84</v>
      </c>
    </row>
    <row r="12" spans="1:6" x14ac:dyDescent="0.35">
      <c r="A12" s="13" t="s">
        <v>2079</v>
      </c>
      <c r="B12" s="9">
        <v>5</v>
      </c>
      <c r="C12" s="9">
        <v>38</v>
      </c>
      <c r="D12" s="9">
        <v>1</v>
      </c>
      <c r="E12" s="9">
        <v>51</v>
      </c>
      <c r="F12" s="9">
        <v>95</v>
      </c>
    </row>
    <row r="13" spans="1:6" x14ac:dyDescent="0.35">
      <c r="A13" s="13" t="s">
        <v>2080</v>
      </c>
      <c r="B13" s="9">
        <v>5</v>
      </c>
      <c r="C13" s="9">
        <v>38</v>
      </c>
      <c r="D13" s="9">
        <v>2</v>
      </c>
      <c r="E13" s="9">
        <v>41</v>
      </c>
      <c r="F13" s="9">
        <v>86</v>
      </c>
    </row>
    <row r="14" spans="1:6" x14ac:dyDescent="0.35">
      <c r="A14" s="13" t="s">
        <v>2081</v>
      </c>
      <c r="B14" s="9">
        <v>3</v>
      </c>
      <c r="C14" s="9">
        <v>22</v>
      </c>
      <c r="D14" s="9">
        <v>2</v>
      </c>
      <c r="E14" s="9">
        <v>42</v>
      </c>
      <c r="F14" s="9">
        <v>69</v>
      </c>
    </row>
    <row r="15" spans="1:6" x14ac:dyDescent="0.35">
      <c r="A15" s="13" t="s">
        <v>2082</v>
      </c>
      <c r="B15" s="9">
        <v>6</v>
      </c>
      <c r="C15" s="9">
        <v>33</v>
      </c>
      <c r="D15" s="9"/>
      <c r="E15" s="9">
        <v>57</v>
      </c>
      <c r="F15" s="9">
        <v>96</v>
      </c>
    </row>
    <row r="16" spans="1:6" x14ac:dyDescent="0.35">
      <c r="A16" s="13" t="s">
        <v>2083</v>
      </c>
      <c r="B16" s="9">
        <v>4</v>
      </c>
      <c r="C16" s="9">
        <v>26</v>
      </c>
      <c r="D16" s="9">
        <v>2</v>
      </c>
      <c r="E16" s="9">
        <v>57</v>
      </c>
      <c r="F16" s="9">
        <v>89</v>
      </c>
    </row>
    <row r="17" spans="1:6" x14ac:dyDescent="0.35">
      <c r="A17" s="13" t="s">
        <v>2084</v>
      </c>
      <c r="B17" s="9">
        <v>2</v>
      </c>
      <c r="C17" s="9">
        <v>30</v>
      </c>
      <c r="D17" s="9"/>
      <c r="E17" s="9">
        <v>52</v>
      </c>
      <c r="F17" s="9">
        <v>84</v>
      </c>
    </row>
    <row r="18" spans="1:6" x14ac:dyDescent="0.35">
      <c r="A18" s="13" t="s">
        <v>2067</v>
      </c>
      <c r="B18" s="9">
        <v>57</v>
      </c>
      <c r="C18" s="9">
        <v>364</v>
      </c>
      <c r="D18" s="9">
        <v>14</v>
      </c>
      <c r="E18" s="9">
        <v>565</v>
      </c>
      <c r="F18" s="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E3D03-40ED-4ADE-8F96-337FE804386A}">
  <dimension ref="A1:H29"/>
  <sheetViews>
    <sheetView zoomScale="80" zoomScaleNormal="80" workbookViewId="0">
      <selection activeCell="G106" sqref="G106"/>
    </sheetView>
  </sheetViews>
  <sheetFormatPr defaultRowHeight="15.5" x14ac:dyDescent="0.35"/>
  <cols>
    <col min="1" max="1" width="27.83203125" bestFit="1" customWidth="1"/>
    <col min="2" max="2" width="26.1640625" bestFit="1" customWidth="1"/>
    <col min="3" max="3" width="22.83203125" bestFit="1" customWidth="1"/>
    <col min="4" max="4" width="25.4140625" bestFit="1" customWidth="1"/>
    <col min="5" max="5" width="12.33203125" bestFit="1" customWidth="1"/>
    <col min="6" max="6" width="19.25" bestFit="1" customWidth="1"/>
    <col min="7" max="7" width="15.83203125" bestFit="1" customWidth="1"/>
    <col min="8" max="8" width="18.5" bestFit="1" customWidth="1"/>
  </cols>
  <sheetData>
    <row r="1" spans="1:8" x14ac:dyDescent="0.35">
      <c r="A1" s="14" t="s">
        <v>2086</v>
      </c>
      <c r="B1" s="14" t="s">
        <v>2087</v>
      </c>
      <c r="C1" s="14" t="s">
        <v>2088</v>
      </c>
      <c r="D1" s="14" t="s">
        <v>2089</v>
      </c>
      <c r="E1" s="14" t="s">
        <v>2090</v>
      </c>
      <c r="F1" s="14" t="s">
        <v>2091</v>
      </c>
      <c r="G1" s="14" t="s">
        <v>2092</v>
      </c>
      <c r="H1" s="14" t="s">
        <v>2093</v>
      </c>
    </row>
    <row r="2" spans="1:8" x14ac:dyDescent="0.35">
      <c r="A2" s="14" t="s">
        <v>2094</v>
      </c>
      <c r="B2" s="14">
        <f>COUNTIFS(Crowdfunding!F:F,"successful",Crowdfunding!E:E,"&lt;1000")</f>
        <v>0</v>
      </c>
      <c r="C2" s="14">
        <f>COUNTIFS(Crowdfunding!F:F,"failed",Crowdfunding!E:E,"&lt;1000")</f>
        <v>45</v>
      </c>
      <c r="D2" s="14">
        <f>COUNTIFS(Crowdfunding!F:F,"canceled",Crowdfunding!E:E,"&lt;1000")</f>
        <v>2</v>
      </c>
      <c r="E2" s="14">
        <f>COUNTIFS(Crowdfunding!E:E,"&lt;1000")</f>
        <v>48</v>
      </c>
      <c r="F2" s="15">
        <f>IFERROR((B2/E2), "0")</f>
        <v>0</v>
      </c>
      <c r="G2" s="15">
        <f>IFERROR((C2/E2), "0")</f>
        <v>0.9375</v>
      </c>
      <c r="H2" s="15">
        <f>IFERROR((D2/E2), "0")</f>
        <v>4.1666666666666664E-2</v>
      </c>
    </row>
    <row r="3" spans="1:8" x14ac:dyDescent="0.35">
      <c r="A3" s="14" t="s">
        <v>2095</v>
      </c>
      <c r="B3" s="14">
        <f>COUNTIFS(Crowdfunding!F:F,"successful",Crowdfunding!E:E,"&gt;=1000",Crowdfunding!E:E, "&lt;4999")</f>
        <v>34</v>
      </c>
      <c r="C3" s="14">
        <f>COUNTIFS(Crowdfunding!F:F,"failed",Crowdfunding!E:E,"&gt;=1000",Crowdfunding!E:E, "&lt;4999")</f>
        <v>101</v>
      </c>
      <c r="D3" s="14">
        <f>COUNTIFS(Crowdfunding!F:F,"canceled",Crowdfunding!E:E,"&gt;=5000",Crowdfunding!E:E, "&lt;9999")</f>
        <v>10</v>
      </c>
      <c r="E3" s="14">
        <f>COUNTIFS(Crowdfunding!E:E,"&gt;=1000",Crowdfunding!E:E, "&lt;4999")</f>
        <v>159</v>
      </c>
      <c r="F3" s="15">
        <f>IFERROR((B3/E3), "0")</f>
        <v>0.21383647798742139</v>
      </c>
      <c r="G3" s="15">
        <f t="shared" ref="G3:G13" si="0">IFERROR((C3/E3), "0")</f>
        <v>0.63522012578616349</v>
      </c>
      <c r="H3" s="15">
        <f t="shared" ref="H3:H13" si="1">IFERROR((D3/E3), "0")</f>
        <v>6.2893081761006289E-2</v>
      </c>
    </row>
    <row r="4" spans="1:8" x14ac:dyDescent="0.35">
      <c r="A4" s="14" t="s">
        <v>2096</v>
      </c>
      <c r="B4" s="14">
        <f>COUNTIFS(Crowdfunding!F:F,"successful",Crowdfunding!E:E,"&gt;=5000",Crowdfunding!E:E, "&lt;9999")</f>
        <v>142</v>
      </c>
      <c r="C4" s="14">
        <f>COUNTIFS(Crowdfunding!F:F,"failed",Crowdfunding!E:E,"&gt;=5000",Crowdfunding!E:E, "&lt;9999")</f>
        <v>64</v>
      </c>
      <c r="D4" s="14">
        <f>COUNTIFS(Crowdfunding!F:F,"canceled",Crowdfunding!E:E,"&gt;=1000",Crowdfunding!E:E, "&lt;4999")</f>
        <v>19</v>
      </c>
      <c r="E4" s="14">
        <f>COUNTIFS(Crowdfunding!E:E,"&gt;=5000",Crowdfunding!E:E, "&lt;9999")</f>
        <v>217</v>
      </c>
      <c r="F4" s="15">
        <f>IFERROR((B4/E4), "0")</f>
        <v>0.65437788018433185</v>
      </c>
      <c r="G4" s="15">
        <f t="shared" si="0"/>
        <v>0.29493087557603687</v>
      </c>
      <c r="H4" s="15">
        <f t="shared" si="1"/>
        <v>8.755760368663594E-2</v>
      </c>
    </row>
    <row r="5" spans="1:8" x14ac:dyDescent="0.35">
      <c r="A5" s="14" t="s">
        <v>2097</v>
      </c>
      <c r="B5" s="14">
        <f>COUNTIFS(Crowdfunding!F:F,"successful",Crowdfunding!E:E,"&gt;=10000",Crowdfunding!E:E, "&lt;14999")</f>
        <v>211</v>
      </c>
      <c r="C5" s="14">
        <f>COUNTIFS(Crowdfunding!F:F,"failed",Crowdfunding!E:E,"&gt;=10000",Crowdfunding!E:E, "&lt;14999")</f>
        <v>7</v>
      </c>
      <c r="D5" s="14">
        <f>COUNTIFS(Crowdfunding!F:F,"canceled",Crowdfunding!E:E,"&gt;=10000",Crowdfunding!E:E, "&lt;14999")</f>
        <v>1</v>
      </c>
      <c r="E5" s="14">
        <f>COUNTIFS(Crowdfunding!E:E,"&gt;=10000",Crowdfunding!E:E, "&lt;14999")</f>
        <v>219</v>
      </c>
      <c r="F5" s="15">
        <f t="shared" ref="F5:G13" si="2">IFERROR((B5/E5), "0")</f>
        <v>0.9634703196347032</v>
      </c>
      <c r="G5" s="15">
        <f t="shared" si="0"/>
        <v>3.1963470319634701E-2</v>
      </c>
      <c r="H5" s="15">
        <f t="shared" si="1"/>
        <v>4.5662100456621002E-3</v>
      </c>
    </row>
    <row r="6" spans="1:8" x14ac:dyDescent="0.35">
      <c r="A6" s="14" t="s">
        <v>2098</v>
      </c>
      <c r="B6" s="14">
        <f>COUNTIFS(Crowdfunding!F:F,"successful",Crowdfunding!E:E,"&gt;=15000",Crowdfunding!E:E, "&lt;19999")</f>
        <v>0</v>
      </c>
      <c r="C6" s="14">
        <f>COUNTIFS(Crowdfunding!F:F,"failed",Crowdfunding!E:E,"&gt;=15000",Crowdfunding!E:E, "&lt;19999")</f>
        <v>8</v>
      </c>
      <c r="D6" s="14">
        <f>COUNTIFS(Crowdfunding!F:F,"canceled",Crowdfunding!E:E,"&gt;=15000",Crowdfunding!E:E, "&lt;19999")</f>
        <v>2</v>
      </c>
      <c r="E6" s="14">
        <f>COUNTIFS(Crowdfunding!E:E,"&gt;=15000",Crowdfunding!E:E, "&lt;19999")</f>
        <v>10</v>
      </c>
      <c r="F6" s="15">
        <f t="shared" si="2"/>
        <v>0</v>
      </c>
      <c r="G6" s="15">
        <f t="shared" si="0"/>
        <v>0.8</v>
      </c>
      <c r="H6" s="15">
        <f t="shared" si="1"/>
        <v>0.2</v>
      </c>
    </row>
    <row r="7" spans="1:8" x14ac:dyDescent="0.35">
      <c r="A7" s="14" t="s">
        <v>2099</v>
      </c>
      <c r="B7" s="14">
        <f>COUNTIFS(Crowdfunding!F:F,"successful",Crowdfunding!E:E,"&gt;=20000",Crowdfunding!E:E, "&lt;24999")</f>
        <v>1</v>
      </c>
      <c r="C7" s="14">
        <f>COUNTIFS(Crowdfunding!F:F,"failed",Crowdfunding!E:E,"&gt;=20000",Crowdfunding!E:E, "&lt;24999")</f>
        <v>7</v>
      </c>
      <c r="D7" s="14">
        <f>COUNTIFS(Crowdfunding!F:F,"canceled",Crowdfunding!E:E,"&gt;=20000",Crowdfunding!E:E, "&lt;24999")</f>
        <v>0</v>
      </c>
      <c r="E7" s="14">
        <f>COUNTIFS(Crowdfunding!E:E,"&gt;=20000",Crowdfunding!E:E, "&lt;24999")</f>
        <v>10</v>
      </c>
      <c r="F7" s="15">
        <f t="shared" si="2"/>
        <v>0.1</v>
      </c>
      <c r="G7" s="15">
        <f t="shared" si="0"/>
        <v>0.7</v>
      </c>
      <c r="H7" s="15">
        <f t="shared" si="1"/>
        <v>0</v>
      </c>
    </row>
    <row r="8" spans="1:8" x14ac:dyDescent="0.35">
      <c r="A8" s="14" t="s">
        <v>2100</v>
      </c>
      <c r="B8" s="14">
        <f>COUNTIFS(Crowdfunding!F:F,"successful",Crowdfunding!E:E,"&gt;=25000",Crowdfunding!E:E, "&lt;29999")</f>
        <v>0</v>
      </c>
      <c r="C8" s="14">
        <f>COUNTIFS(Crowdfunding!F:F,"failed",Crowdfunding!E:E,"&gt;=25000",Crowdfunding!E:E, "&lt;29999")</f>
        <v>7</v>
      </c>
      <c r="D8" s="14">
        <f>COUNTIFS(Crowdfunding!F:F,"canceled",Crowdfunding!E:E,"&gt;=25000",Crowdfunding!E:E, "&lt;29999")</f>
        <v>1</v>
      </c>
      <c r="E8" s="14">
        <f>COUNTIFS(Crowdfunding!E:E,"&gt;=25000",Crowdfunding!E:E, "&lt;29999")</f>
        <v>8</v>
      </c>
      <c r="F8" s="15">
        <f t="shared" si="2"/>
        <v>0</v>
      </c>
      <c r="G8" s="15">
        <f t="shared" si="0"/>
        <v>0.875</v>
      </c>
      <c r="H8" s="15">
        <f t="shared" si="1"/>
        <v>0.125</v>
      </c>
    </row>
    <row r="9" spans="1:8" x14ac:dyDescent="0.35">
      <c r="A9" s="14" t="s">
        <v>2101</v>
      </c>
      <c r="B9" s="14">
        <f>COUNTIFS(Crowdfunding!F:F,"successful",Crowdfunding!E:E,"&gt;=30000",Crowdfunding!E:E, "&lt;34999")</f>
        <v>1</v>
      </c>
      <c r="C9" s="14">
        <f>COUNTIFS(Crowdfunding!F:F,"failed",Crowdfunding!E:E,"&gt;=30000",Crowdfunding!E:E, "&lt;34999")</f>
        <v>6</v>
      </c>
      <c r="D9" s="14">
        <f>COUNTIFS(Crowdfunding!F:F,"canceled",Crowdfunding!E:E,"&gt;=30000",Crowdfunding!E:E, "&lt;34999")</f>
        <v>3</v>
      </c>
      <c r="E9" s="14">
        <f>COUNTIFS(Crowdfunding!E:E,"&gt;=30000",Crowdfunding!E:E, "&lt;34999")</f>
        <v>11</v>
      </c>
      <c r="F9" s="15">
        <f t="shared" si="2"/>
        <v>9.0909090909090912E-2</v>
      </c>
      <c r="G9" s="15">
        <f t="shared" si="0"/>
        <v>0.54545454545454541</v>
      </c>
      <c r="H9" s="15">
        <f t="shared" si="1"/>
        <v>0.27272727272727271</v>
      </c>
    </row>
    <row r="10" spans="1:8" x14ac:dyDescent="0.35">
      <c r="A10" s="14" t="s">
        <v>2102</v>
      </c>
      <c r="B10" s="14">
        <f>COUNTIFS(Crowdfunding!F:F,"successful",Crowdfunding!E:E,"&gt;=35000",Crowdfunding!E:E, "&lt;39999")</f>
        <v>1</v>
      </c>
      <c r="C10" s="14">
        <f>COUNTIFS(Crowdfunding!F:F,"failed",Crowdfunding!E:E,"&gt;=35000",Crowdfunding!E:E, "&lt;39999")</f>
        <v>8</v>
      </c>
      <c r="D10" s="14">
        <f>COUNTIFS(Crowdfunding!F:F,"canceled",Crowdfunding!E:E,"&gt;=35000",Crowdfunding!E:E, "&lt;39999")</f>
        <v>1</v>
      </c>
      <c r="E10" s="14">
        <f>COUNTIFS(Crowdfunding!E:E,"&gt;35000",Crowdfunding!E:E, "&lt;39999")</f>
        <v>10</v>
      </c>
      <c r="F10" s="15">
        <f t="shared" si="2"/>
        <v>0.1</v>
      </c>
      <c r="G10" s="15">
        <f t="shared" si="0"/>
        <v>0.8</v>
      </c>
      <c r="H10" s="15">
        <f t="shared" si="1"/>
        <v>0.1</v>
      </c>
    </row>
    <row r="11" spans="1:8" x14ac:dyDescent="0.35">
      <c r="A11" s="14" t="s">
        <v>2103</v>
      </c>
      <c r="B11" s="14">
        <f>COUNTIFS(Crowdfunding!F:F,"successful",Crowdfunding!E:E,"&gt;=40000",Crowdfunding!E:E, "&lt;44999")</f>
        <v>4</v>
      </c>
      <c r="C11" s="14">
        <f>COUNTIFS(Crowdfunding!F:F,"failed",Crowdfunding!E:E,"&gt;=40000",Crowdfunding!E:E, "&lt;44999")</f>
        <v>4</v>
      </c>
      <c r="D11" s="14">
        <f>COUNTIFS(Crowdfunding!F:F,"canceled",Crowdfunding!E:E,"&gt;=40000",Crowdfunding!E:E, "&lt;44999")</f>
        <v>1</v>
      </c>
      <c r="E11" s="14">
        <f>COUNTIFS(Crowdfunding!E:E,"&gt;=40000",Crowdfunding!E:E, "&lt;44999")</f>
        <v>10</v>
      </c>
      <c r="F11" s="15">
        <f t="shared" si="2"/>
        <v>0.4</v>
      </c>
      <c r="G11" s="15">
        <f t="shared" si="0"/>
        <v>0.4</v>
      </c>
      <c r="H11" s="15">
        <f t="shared" si="1"/>
        <v>0.1</v>
      </c>
    </row>
    <row r="12" spans="1:8" x14ac:dyDescent="0.35">
      <c r="A12" s="14" t="s">
        <v>2104</v>
      </c>
      <c r="B12" s="14">
        <f>COUNTIFS(Crowdfunding!F:F,"successful",Crowdfunding!E:E,"&gt;=45000",Crowdfunding!E:E, "&lt;49999")</f>
        <v>2</v>
      </c>
      <c r="C12" s="14">
        <f>COUNTIFS(Crowdfunding!F:F,"failed",Crowdfunding!E:E,"&gt;=45000",Crowdfunding!E:E, "&lt;49999")</f>
        <v>7</v>
      </c>
      <c r="D12" s="14">
        <f>COUNTIFS(Crowdfunding!F:F,"canceled",Crowdfunding!E:E,"&gt;=45000",Crowdfunding!E:E, "&lt;49999")</f>
        <v>4</v>
      </c>
      <c r="E12" s="14">
        <f>COUNTIFS(Crowdfunding!E:E,"&gt;=45000",Crowdfunding!E:E, "&lt;49999")</f>
        <v>13</v>
      </c>
      <c r="F12" s="15">
        <f t="shared" si="2"/>
        <v>0.15384615384615385</v>
      </c>
      <c r="G12" s="15">
        <f t="shared" si="0"/>
        <v>0.53846153846153844</v>
      </c>
      <c r="H12" s="15">
        <f t="shared" si="1"/>
        <v>0.30769230769230771</v>
      </c>
    </row>
    <row r="13" spans="1:8" x14ac:dyDescent="0.35">
      <c r="A13" s="14" t="s">
        <v>2105</v>
      </c>
      <c r="B13" s="14">
        <f>COUNTIFS(Crowdfunding!F:F,"successful",Crowdfunding!E:E,"&gt;=50000")</f>
        <v>169</v>
      </c>
      <c r="C13" s="14">
        <f>COUNTIFS(Crowdfunding!F:F,"failed",Crowdfunding!E:E,"&gt;=50000")</f>
        <v>100</v>
      </c>
      <c r="D13" s="14">
        <f>COUNTIFS(Crowdfunding!F:F,"canceled",Crowdfunding!E:E,"&gt;=50000")</f>
        <v>13</v>
      </c>
      <c r="E13" s="14">
        <f>COUNTIFS(Crowdfunding!E:E,"&gt;=50000")</f>
        <v>285</v>
      </c>
      <c r="F13" s="15">
        <f t="shared" si="2"/>
        <v>0.59298245614035083</v>
      </c>
      <c r="G13" s="15">
        <f t="shared" si="0"/>
        <v>0.35087719298245612</v>
      </c>
      <c r="H13" s="15">
        <f t="shared" si="1"/>
        <v>4.5614035087719301E-2</v>
      </c>
    </row>
    <row r="16" spans="1:8" x14ac:dyDescent="0.35">
      <c r="A16" s="7" t="s">
        <v>2066</v>
      </c>
      <c r="B16" t="s">
        <v>2106</v>
      </c>
      <c r="C16" t="s">
        <v>2107</v>
      </c>
      <c r="D16" t="s">
        <v>2108</v>
      </c>
    </row>
    <row r="17" spans="1:4" x14ac:dyDescent="0.35">
      <c r="A17" s="8" t="s">
        <v>2095</v>
      </c>
      <c r="B17" s="16">
        <v>0.21383647798742139</v>
      </c>
      <c r="C17" s="16">
        <v>0.63522012578616349</v>
      </c>
      <c r="D17" s="16">
        <v>6.2893081761006289E-2</v>
      </c>
    </row>
    <row r="18" spans="1:4" x14ac:dyDescent="0.35">
      <c r="A18" s="8" t="s">
        <v>2097</v>
      </c>
      <c r="B18" s="16">
        <v>0.9634703196347032</v>
      </c>
      <c r="C18" s="16">
        <v>3.1963470319634701E-2</v>
      </c>
      <c r="D18" s="16">
        <v>4.5662100456621002E-3</v>
      </c>
    </row>
    <row r="19" spans="1:4" x14ac:dyDescent="0.35">
      <c r="A19" s="8" t="s">
        <v>2098</v>
      </c>
      <c r="B19" s="16">
        <v>0</v>
      </c>
      <c r="C19" s="16">
        <v>0.8</v>
      </c>
      <c r="D19" s="16">
        <v>0.2</v>
      </c>
    </row>
    <row r="20" spans="1:4" x14ac:dyDescent="0.35">
      <c r="A20" s="8" t="s">
        <v>2099</v>
      </c>
      <c r="B20" s="16">
        <v>0.1</v>
      </c>
      <c r="C20" s="16">
        <v>0.7</v>
      </c>
      <c r="D20" s="16">
        <v>0</v>
      </c>
    </row>
    <row r="21" spans="1:4" x14ac:dyDescent="0.35">
      <c r="A21" s="8" t="s">
        <v>2100</v>
      </c>
      <c r="B21" s="16">
        <v>0</v>
      </c>
      <c r="C21" s="16">
        <v>0.875</v>
      </c>
      <c r="D21" s="16">
        <v>0.125</v>
      </c>
    </row>
    <row r="22" spans="1:4" x14ac:dyDescent="0.35">
      <c r="A22" s="8" t="s">
        <v>2101</v>
      </c>
      <c r="B22" s="16">
        <v>9.0909090909090912E-2</v>
      </c>
      <c r="C22" s="16">
        <v>0.54545454545454541</v>
      </c>
      <c r="D22" s="16">
        <v>0.27272727272727271</v>
      </c>
    </row>
    <row r="23" spans="1:4" x14ac:dyDescent="0.35">
      <c r="A23" s="8" t="s">
        <v>2102</v>
      </c>
      <c r="B23" s="16">
        <v>0.1</v>
      </c>
      <c r="C23" s="16">
        <v>0.8</v>
      </c>
      <c r="D23" s="16">
        <v>0.1</v>
      </c>
    </row>
    <row r="24" spans="1:4" x14ac:dyDescent="0.35">
      <c r="A24" s="8" t="s">
        <v>2103</v>
      </c>
      <c r="B24" s="16">
        <v>0.4</v>
      </c>
      <c r="C24" s="16">
        <v>0.4</v>
      </c>
      <c r="D24" s="16">
        <v>0.1</v>
      </c>
    </row>
    <row r="25" spans="1:4" x14ac:dyDescent="0.35">
      <c r="A25" s="8" t="s">
        <v>2104</v>
      </c>
      <c r="B25" s="16">
        <v>0.15384615384615385</v>
      </c>
      <c r="C25" s="16">
        <v>0.53846153846153844</v>
      </c>
      <c r="D25" s="16">
        <v>0.30769230769230771</v>
      </c>
    </row>
    <row r="26" spans="1:4" x14ac:dyDescent="0.35">
      <c r="A26" s="8" t="s">
        <v>2096</v>
      </c>
      <c r="B26" s="16">
        <v>0.65437788018433185</v>
      </c>
      <c r="C26" s="16">
        <v>0.29493087557603687</v>
      </c>
      <c r="D26" s="16">
        <v>8.755760368663594E-2</v>
      </c>
    </row>
    <row r="27" spans="1:4" x14ac:dyDescent="0.35">
      <c r="A27" s="8" t="s">
        <v>2105</v>
      </c>
      <c r="B27" s="16">
        <v>0.59298245614035083</v>
      </c>
      <c r="C27" s="16">
        <v>0.35087719298245612</v>
      </c>
      <c r="D27" s="16">
        <v>4.5614035087719301E-2</v>
      </c>
    </row>
    <row r="28" spans="1:4" x14ac:dyDescent="0.35">
      <c r="A28" s="8" t="s">
        <v>2094</v>
      </c>
      <c r="B28" s="16">
        <v>0</v>
      </c>
      <c r="C28" s="16">
        <v>0.9375</v>
      </c>
      <c r="D28" s="16">
        <v>4.1666666666666664E-2</v>
      </c>
    </row>
    <row r="29" spans="1:4" x14ac:dyDescent="0.35">
      <c r="A29" s="8" t="s">
        <v>2067</v>
      </c>
      <c r="B29" s="16">
        <v>3.269422378702052</v>
      </c>
      <c r="C29" s="16">
        <v>6.9094077485803753</v>
      </c>
      <c r="D29" s="16">
        <v>1.3477171776672707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35599-0B02-4F1D-9949-E423D115C073}">
  <dimension ref="A1:C7"/>
  <sheetViews>
    <sheetView tabSelected="1" workbookViewId="0">
      <selection activeCell="E17" sqref="E17"/>
    </sheetView>
  </sheetViews>
  <sheetFormatPr defaultRowHeight="15.5" x14ac:dyDescent="0.35"/>
  <cols>
    <col min="1" max="1" width="29" bestFit="1" customWidth="1"/>
    <col min="2" max="2" width="31.1640625" bestFit="1" customWidth="1"/>
    <col min="3" max="3" width="33.4140625" bestFit="1" customWidth="1"/>
  </cols>
  <sheetData>
    <row r="1" spans="1:3" x14ac:dyDescent="0.35">
      <c r="B1" t="s">
        <v>2109</v>
      </c>
      <c r="C1" t="s">
        <v>2110</v>
      </c>
    </row>
    <row r="2" spans="1:3" x14ac:dyDescent="0.35">
      <c r="A2" t="s">
        <v>2111</v>
      </c>
      <c r="B2">
        <f>AVERAGEIF(Crowdfunding!F2:F1001, "successful", Crowdfunding!G2:G1001)</f>
        <v>851.14690265486729</v>
      </c>
      <c r="C2">
        <f>AVERAGE(IF(AND(Crowdfunding!F2:F1001="failed"),(Crowdfunding!G2:G1001="canceled")),Crowdfunding!G2:G1001,0)</f>
        <v>725.55389221556891</v>
      </c>
    </row>
    <row r="3" spans="1:3" x14ac:dyDescent="0.35">
      <c r="A3" t="s">
        <v>2112</v>
      </c>
      <c r="B3">
        <f>MEDIAN(IF(Crowdfunding!F2:F1001="successful", Crowdfunding!G2:G1001,0))</f>
        <v>184.5</v>
      </c>
      <c r="C3">
        <f>MEDIAN(IF(AND(Crowdfunding!F2:F1001="failed"),(Crowdfunding!G2:G1001="canceled")),Crowdfunding!G2:G1001,0)</f>
        <v>184</v>
      </c>
    </row>
    <row r="4" spans="1:3" x14ac:dyDescent="0.35">
      <c r="A4" t="s">
        <v>2115</v>
      </c>
      <c r="B4">
        <f>MAX(IF(Crowdfunding!F2:F1001="successful", Crowdfunding!G2:G1001,0))</f>
        <v>7295</v>
      </c>
      <c r="C4">
        <f>MAX(IF(AND(Crowdfunding!F2:F1001="failed"),(Crowdfunding!G2:G1001="canceled")),Crowdfunding!G2:G1001,0)</f>
        <v>7295</v>
      </c>
    </row>
    <row r="5" spans="1:3" x14ac:dyDescent="0.35">
      <c r="A5" t="s">
        <v>2116</v>
      </c>
      <c r="B5">
        <f>MIN(IF(Crowdfunding!F:F="successful", Crowdfunding!G:G,0))</f>
        <v>0</v>
      </c>
      <c r="C5">
        <f>MIN(IF(AND(Crowdfunding!F2:F1001="failed"),(Crowdfunding!G2:G1001="canceled")),Crowdfunding!G2:G1001,0)</f>
        <v>0</v>
      </c>
    </row>
    <row r="6" spans="1:3" x14ac:dyDescent="0.35">
      <c r="A6" t="s">
        <v>2113</v>
      </c>
      <c r="B6">
        <f>VAR(IF(AND(Crowdfunding!F2:F1001="successful"),(Crowdfunding!G2:G1001&gt;0)),Crowdfunding!G2:G1001,0)</f>
        <v>1292881.5999898305</v>
      </c>
      <c r="C6">
        <f>VAR(IF(AND(Crowdfunding!F2:F1001="failed"),(Crowdfunding!G2:G1001="canceled"), (Crowdfunding!G2:G1001 &gt;0)),Crowdfunding!G2:G1001,0)</f>
        <v>1292881.5999898305</v>
      </c>
    </row>
    <row r="7" spans="1:3" x14ac:dyDescent="0.35">
      <c r="A7" t="s">
        <v>2114</v>
      </c>
      <c r="B7">
        <f>STDEV(IF(Crowdfunding!F2:F1001="successful", Crowdfunding!G2:G1001,0))</f>
        <v>1137.7231354366966</v>
      </c>
      <c r="C7">
        <f>STDEV(IF(AND(Crowdfunding!F2:F1001="failed"),(Crowdfunding!G2:G1001="canceled")),Crowdfunding!G2:G1001,0)</f>
        <v>1137.0495151882483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7306-520F-40C0-9A24-59838F0ACD4C}">
  <dimension ref="A1"/>
  <sheetViews>
    <sheetView workbookViewId="0">
      <selection activeCell="H30" sqref="H30"/>
    </sheetView>
  </sheetViews>
  <sheetFormatPr defaultRowHeight="15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Outcome v SubCategory</vt:lpstr>
      <vt:lpstr>Outcome v Date</vt:lpstr>
      <vt:lpstr>Bonus1</vt:lpstr>
      <vt:lpstr>BONUS2</vt:lpstr>
      <vt:lpstr>Conclusion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tim cabaza</cp:lastModifiedBy>
  <dcterms:created xsi:type="dcterms:W3CDTF">2021-09-29T18:52:28Z</dcterms:created>
  <dcterms:modified xsi:type="dcterms:W3CDTF">2022-03-30T04:27:21Z</dcterms:modified>
</cp:coreProperties>
</file>